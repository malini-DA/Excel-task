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ry5\OneDrive\Desktop\"/>
    </mc:Choice>
  </mc:AlternateContent>
  <xr:revisionPtr revIDLastSave="0" documentId="13_ncr:1_{2C834B58-F990-42A9-B083-F6BD18845E40}" xr6:coauthVersionLast="47" xr6:coauthVersionMax="47" xr10:uidLastSave="{00000000-0000-0000-0000-000000000000}"/>
  <bookViews>
    <workbookView xWindow="-120" yWindow="-120" windowWidth="21840" windowHeight="13020" activeTab="3" xr2:uid="{B1AC5D2D-4515-4A73-9E77-F4D3FF0B2E00}"/>
  </bookViews>
  <sheets>
    <sheet name="customer" sheetId="2" r:id="rId1"/>
    <sheet name="product" sheetId="6" r:id="rId2"/>
    <sheet name="store" sheetId="3" r:id="rId3"/>
    <sheet name="sales" sheetId="4" r:id="rId4"/>
    <sheet name="task qu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23" i="4"/>
  <c r="A16" i="3"/>
  <c r="A13" i="3"/>
  <c r="A10" i="3"/>
  <c r="A23" i="2"/>
  <c r="A20" i="2"/>
  <c r="A17" i="2"/>
  <c r="A14" i="2"/>
  <c r="A27" i="6"/>
  <c r="A24" i="6"/>
  <c r="A21" i="6"/>
  <c r="A18" i="6"/>
  <c r="A16" i="6"/>
  <c r="A15" i="6"/>
</calcChain>
</file>

<file path=xl/sharedStrings.xml><?xml version="1.0" encoding="utf-8"?>
<sst xmlns="http://schemas.openxmlformats.org/spreadsheetml/2006/main" count="294" uniqueCount="176">
  <si>
    <t> Practice Tasks</t>
  </si>
  <si>
    <t>## Beginner</t>
  </si>
  <si>
    <t>### Task 1</t>
  </si>
  <si>
    <t>### Task 2</t>
  </si>
  <si>
    <t>### Task 3</t>
  </si>
  <si>
    <t>### Task 4</t>
  </si>
  <si>
    <t>### Task 5</t>
  </si>
  <si>
    <t>## Customer Lookup</t>
  </si>
  <si>
    <t>### Task 6</t>
  </si>
  <si>
    <t>### Task 7</t>
  </si>
  <si>
    <t>### Task 8</t>
  </si>
  <si>
    <t>### Task 9</t>
  </si>
  <si>
    <t>## Store Lookup</t>
  </si>
  <si>
    <t>### Task 10</t>
  </si>
  <si>
    <t>### Task 11</t>
  </si>
  <si>
    <t>### Task 12</t>
  </si>
  <si>
    <t>## Sales Analysis</t>
  </si>
  <si>
    <t>### Task 13</t>
  </si>
  <si>
    <t>Retrieve the Product Name for every Product ID in the Sales sheet.</t>
  </si>
  <si>
    <t>### Task 14</t>
  </si>
  <si>
    <t>Retrieve the Customer Name for every Customer ID in the Sales sheet.</t>
  </si>
  <si>
    <t>### Task 15</t>
  </si>
  <si>
    <t>Retrieve the Store Name for every Store ID in the Sales sheet.</t>
  </si>
  <si>
    <t>### Task 16</t>
  </si>
  <si>
    <t>Retrieve the Product Price for every Product ID in the Sales sheet.</t>
  </si>
  <si>
    <t>### Task 17</t>
  </si>
  <si>
    <t>**Formula Logic**</t>
  </si>
  <si>
    <t>``` text</t>
  </si>
  <si>
    <t>Total Sales = Quantity × Product Price</t>
  </si>
  <si>
    <r>
      <t xml:space="preserve">Find the </t>
    </r>
    <r>
      <rPr>
        <b/>
        <sz val="11"/>
        <color theme="1"/>
        <rFont val="Consolas"/>
        <family val="3"/>
      </rPr>
      <t>**Product Name**</t>
    </r>
    <r>
      <rPr>
        <sz val="11"/>
        <color theme="1"/>
        <rFont val="Consolas"/>
        <family val="3"/>
      </rPr>
      <t xml:space="preserve"> for Product ID </t>
    </r>
    <r>
      <rPr>
        <b/>
        <sz val="11"/>
        <color theme="1"/>
        <rFont val="Consolas"/>
        <family val="3"/>
      </rPr>
      <t>**P1006**</t>
    </r>
    <r>
      <rPr>
        <sz val="11"/>
        <color theme="1"/>
        <rFont val="Consolas"/>
        <family val="3"/>
      </rPr>
      <t>.</t>
    </r>
  </si>
  <si>
    <r>
      <t xml:space="preserve">Find the </t>
    </r>
    <r>
      <rPr>
        <b/>
        <sz val="11"/>
        <color theme="1"/>
        <rFont val="Consolas"/>
        <family val="3"/>
      </rPr>
      <t>**Price**</t>
    </r>
    <r>
      <rPr>
        <sz val="11"/>
        <color theme="1"/>
        <rFont val="Consolas"/>
        <family val="3"/>
      </rPr>
      <t xml:space="preserve"> for Product ID </t>
    </r>
    <r>
      <rPr>
        <b/>
        <sz val="11"/>
        <color theme="1"/>
        <rFont val="Consolas"/>
        <family val="3"/>
      </rPr>
      <t>**P1008**</t>
    </r>
    <r>
      <rPr>
        <sz val="11"/>
        <color theme="1"/>
        <rFont val="Consolas"/>
        <family val="3"/>
      </rPr>
      <t>.</t>
    </r>
  </si>
  <si>
    <r>
      <t xml:space="preserve">Find the </t>
    </r>
    <r>
      <rPr>
        <b/>
        <sz val="11"/>
        <color theme="1"/>
        <rFont val="Consolas"/>
        <family val="3"/>
      </rPr>
      <t>**Brand**</t>
    </r>
    <r>
      <rPr>
        <sz val="11"/>
        <color theme="1"/>
        <rFont val="Consolas"/>
        <family val="3"/>
      </rPr>
      <t xml:space="preserve"> for Product ID </t>
    </r>
    <r>
      <rPr>
        <b/>
        <sz val="11"/>
        <color theme="1"/>
        <rFont val="Consolas"/>
        <family val="3"/>
      </rPr>
      <t>**P1003**</t>
    </r>
    <r>
      <rPr>
        <sz val="11"/>
        <color theme="1"/>
        <rFont val="Consolas"/>
        <family val="3"/>
      </rPr>
      <t>.</t>
    </r>
  </si>
  <si>
    <r>
      <t xml:space="preserve">Find the </t>
    </r>
    <r>
      <rPr>
        <b/>
        <sz val="11"/>
        <color theme="1"/>
        <rFont val="Consolas"/>
        <family val="3"/>
      </rPr>
      <t>**Stock**</t>
    </r>
    <r>
      <rPr>
        <sz val="11"/>
        <color theme="1"/>
        <rFont val="Consolas"/>
        <family val="3"/>
      </rPr>
      <t xml:space="preserve"> for Product ID </t>
    </r>
    <r>
      <rPr>
        <b/>
        <sz val="11"/>
        <color theme="1"/>
        <rFont val="Consolas"/>
        <family val="3"/>
      </rPr>
      <t>**P1005**</t>
    </r>
    <r>
      <rPr>
        <sz val="11"/>
        <color theme="1"/>
        <rFont val="Consolas"/>
        <family val="3"/>
      </rPr>
      <t>.</t>
    </r>
  </si>
  <si>
    <r>
      <t xml:space="preserve">Find the </t>
    </r>
    <r>
      <rPr>
        <b/>
        <sz val="11"/>
        <color theme="1"/>
        <rFont val="Consolas"/>
        <family val="3"/>
      </rPr>
      <t>**Category**</t>
    </r>
    <r>
      <rPr>
        <sz val="11"/>
        <color theme="1"/>
        <rFont val="Consolas"/>
        <family val="3"/>
      </rPr>
      <t xml:space="preserve"> for Product ID </t>
    </r>
    <r>
      <rPr>
        <b/>
        <sz val="11"/>
        <color theme="1"/>
        <rFont val="Consolas"/>
        <family val="3"/>
      </rPr>
      <t>**P1004**</t>
    </r>
    <r>
      <rPr>
        <sz val="11"/>
        <color theme="1"/>
        <rFont val="Consolas"/>
        <family val="3"/>
      </rPr>
      <t>.</t>
    </r>
  </si>
  <si>
    <r>
      <t xml:space="preserve">Find the Customer Name for </t>
    </r>
    <r>
      <rPr>
        <b/>
        <sz val="11"/>
        <color theme="1"/>
        <rFont val="Consolas"/>
        <family val="3"/>
      </rPr>
      <t>**C007**</t>
    </r>
    <r>
      <rPr>
        <sz val="11"/>
        <color theme="1"/>
        <rFont val="Consolas"/>
        <family val="3"/>
      </rPr>
      <t>.</t>
    </r>
  </si>
  <si>
    <r>
      <t xml:space="preserve">Find the City for </t>
    </r>
    <r>
      <rPr>
        <b/>
        <sz val="11"/>
        <color theme="1"/>
        <rFont val="Consolas"/>
        <family val="3"/>
      </rPr>
      <t>**C010**</t>
    </r>
    <r>
      <rPr>
        <sz val="11"/>
        <color theme="1"/>
        <rFont val="Consolas"/>
        <family val="3"/>
      </rPr>
      <t>.</t>
    </r>
  </si>
  <si>
    <r>
      <t xml:space="preserve">Find the State for </t>
    </r>
    <r>
      <rPr>
        <b/>
        <sz val="11"/>
        <color theme="1"/>
        <rFont val="Consolas"/>
        <family val="3"/>
      </rPr>
      <t>**C003**</t>
    </r>
    <r>
      <rPr>
        <sz val="11"/>
        <color theme="1"/>
        <rFont val="Consolas"/>
        <family val="3"/>
      </rPr>
      <t>.</t>
    </r>
  </si>
  <si>
    <r>
      <t xml:space="preserve">Find the Gender for </t>
    </r>
    <r>
      <rPr>
        <b/>
        <sz val="11"/>
        <color theme="1"/>
        <rFont val="Consolas"/>
        <family val="3"/>
      </rPr>
      <t>**C006**</t>
    </r>
    <r>
      <rPr>
        <sz val="11"/>
        <color theme="1"/>
        <rFont val="Consolas"/>
        <family val="3"/>
      </rPr>
      <t>.</t>
    </r>
  </si>
  <si>
    <r>
      <t xml:space="preserve">Find the Store Name for </t>
    </r>
    <r>
      <rPr>
        <b/>
        <sz val="11"/>
        <color theme="1"/>
        <rFont val="Consolas"/>
        <family val="3"/>
      </rPr>
      <t>**S003**</t>
    </r>
    <r>
      <rPr>
        <sz val="11"/>
        <color theme="1"/>
        <rFont val="Consolas"/>
        <family val="3"/>
      </rPr>
      <t>.</t>
    </r>
  </si>
  <si>
    <r>
      <t xml:space="preserve">Find the Store City for </t>
    </r>
    <r>
      <rPr>
        <b/>
        <sz val="11"/>
        <color theme="1"/>
        <rFont val="Consolas"/>
        <family val="3"/>
      </rPr>
      <t>**S005**</t>
    </r>
    <r>
      <rPr>
        <sz val="11"/>
        <color theme="1"/>
        <rFont val="Consolas"/>
        <family val="3"/>
      </rPr>
      <t>.</t>
    </r>
  </si>
  <si>
    <r>
      <t xml:space="preserve">Find the Store State for </t>
    </r>
    <r>
      <rPr>
        <b/>
        <sz val="11"/>
        <color theme="1"/>
        <rFont val="Consolas"/>
        <family val="3"/>
      </rPr>
      <t>**S002**</t>
    </r>
    <r>
      <rPr>
        <sz val="11"/>
        <color theme="1"/>
        <rFont val="Consolas"/>
        <family val="3"/>
      </rPr>
      <t>.</t>
    </r>
  </si>
  <si>
    <r>
      <t xml:space="preserve">Create a </t>
    </r>
    <r>
      <rPr>
        <b/>
        <sz val="11"/>
        <color theme="1"/>
        <rFont val="Consolas"/>
        <family val="3"/>
      </rPr>
      <t>**Total Sales**</t>
    </r>
    <r>
      <rPr>
        <sz val="11"/>
        <color theme="1"/>
        <rFont val="Consolas"/>
        <family val="3"/>
      </rPr>
      <t xml:space="preserve"> column.</t>
    </r>
  </si>
  <si>
    <t>Customer Name</t>
  </si>
  <si>
    <t>City</t>
  </si>
  <si>
    <t>State</t>
  </si>
  <si>
    <t>Gender</t>
  </si>
  <si>
    <t>C001</t>
  </si>
  <si>
    <t>Amit Patel</t>
  </si>
  <si>
    <t>Ahmedabad</t>
  </si>
  <si>
    <t>Gujarat</t>
  </si>
  <si>
    <t>Male</t>
  </si>
  <si>
    <t>C002</t>
  </si>
  <si>
    <t>Priya Shah</t>
  </si>
  <si>
    <t>Surat</t>
  </si>
  <si>
    <t>Female</t>
  </si>
  <si>
    <t>C003</t>
  </si>
  <si>
    <t>Rahul Mehta</t>
  </si>
  <si>
    <t>Mumbai</t>
  </si>
  <si>
    <t>Maharashtra</t>
  </si>
  <si>
    <t>C004</t>
  </si>
  <si>
    <t>Sneha Joshi</t>
  </si>
  <si>
    <t>Pune</t>
  </si>
  <si>
    <t>C005</t>
  </si>
  <si>
    <t>Arjun Singh</t>
  </si>
  <si>
    <t>Jaipur</t>
  </si>
  <si>
    <t>Rajasthan</t>
  </si>
  <si>
    <t>C006</t>
  </si>
  <si>
    <t>Neha Verma</t>
  </si>
  <si>
    <t>Delhi</t>
  </si>
  <si>
    <t>C007</t>
  </si>
  <si>
    <t>Rohan Gupta</t>
  </si>
  <si>
    <t>Indore</t>
  </si>
  <si>
    <t>Madhya Pradesh</t>
  </si>
  <si>
    <t>C008</t>
  </si>
  <si>
    <t>Pooja Sharma</t>
  </si>
  <si>
    <t>Lucknow</t>
  </si>
  <si>
    <t>Uttar Pradesh</t>
  </si>
  <si>
    <t>C009</t>
  </si>
  <si>
    <t>Karan Desai</t>
  </si>
  <si>
    <t>Vadodara</t>
  </si>
  <si>
    <t>C010</t>
  </si>
  <si>
    <t>Anjali Nair</t>
  </si>
  <si>
    <t>Kochi</t>
  </si>
  <si>
    <t>Kerala</t>
  </si>
  <si>
    <t>Customer id</t>
  </si>
  <si>
    <t>Category</t>
  </si>
  <si>
    <t>Brand</t>
  </si>
  <si>
    <t>Price</t>
  </si>
  <si>
    <t>Stock</t>
  </si>
  <si>
    <t>------------</t>
  </si>
  <si>
    <t>P1001</t>
  </si>
  <si>
    <t>Laptop</t>
  </si>
  <si>
    <t>Electronics</t>
  </si>
  <si>
    <t>Dell</t>
  </si>
  <si>
    <t>P1002</t>
  </si>
  <si>
    <t>Smartphone</t>
  </si>
  <si>
    <t>Samsung</t>
  </si>
  <si>
    <t>P1003</t>
  </si>
  <si>
    <t>Headphones</t>
  </si>
  <si>
    <t>Sony</t>
  </si>
  <si>
    <t>P1004</t>
  </si>
  <si>
    <t>Keyboard</t>
  </si>
  <si>
    <t>Accessories</t>
  </si>
  <si>
    <t>Logitech</t>
  </si>
  <si>
    <t>P1005</t>
  </si>
  <si>
    <t>Mouse</t>
  </si>
  <si>
    <t>HP</t>
  </si>
  <si>
    <t>P1006</t>
  </si>
  <si>
    <t>Printer</t>
  </si>
  <si>
    <t>Canon</t>
  </si>
  <si>
    <t>P1007</t>
  </si>
  <si>
    <t>Office Chair</t>
  </si>
  <si>
    <t>Furniture</t>
  </si>
  <si>
    <t>Green Soul</t>
  </si>
  <si>
    <t>P1008</t>
  </si>
  <si>
    <t>Office Desk</t>
  </si>
  <si>
    <t>IKEA</t>
  </si>
  <si>
    <t>P1009</t>
  </si>
  <si>
    <t>Monitor</t>
  </si>
  <si>
    <t>LG</t>
  </si>
  <si>
    <t>P1010</t>
  </si>
  <si>
    <t>Webcam</t>
  </si>
  <si>
    <t>Store ID</t>
  </si>
  <si>
    <t>Store Name</t>
  </si>
  <si>
    <t>S001</t>
  </si>
  <si>
    <t>Alpha Store</t>
  </si>
  <si>
    <t>S002</t>
  </si>
  <si>
    <t>Beta Store</t>
  </si>
  <si>
    <t>S003</t>
  </si>
  <si>
    <t>Central Store</t>
  </si>
  <si>
    <t>S004</t>
  </si>
  <si>
    <t>Digital Hub</t>
  </si>
  <si>
    <t>S005</t>
  </si>
  <si>
    <t>Smart World</t>
  </si>
  <si>
    <t>Sale ID</t>
  </si>
  <si>
    <t>Product ID</t>
  </si>
  <si>
    <t>Customer ID</t>
  </si>
  <si>
    <t>Quantity</t>
  </si>
  <si>
    <t>Date</t>
  </si>
  <si>
    <t>SA001</t>
  </si>
  <si>
    <t>SA002</t>
  </si>
  <si>
    <t>SA003</t>
  </si>
  <si>
    <t>SA004</t>
  </si>
  <si>
    <t>SA005</t>
  </si>
  <si>
    <t>SA006</t>
  </si>
  <si>
    <t>SA007</t>
  </si>
  <si>
    <t>SA008</t>
  </si>
  <si>
    <t>SA009</t>
  </si>
  <si>
    <t>SA010</t>
  </si>
  <si>
    <t>SA011</t>
  </si>
  <si>
    <t>SA012</t>
  </si>
  <si>
    <t>SA013</t>
  </si>
  <si>
    <t>SA014</t>
  </si>
  <si>
    <t>SA015</t>
  </si>
  <si>
    <t>Product id</t>
  </si>
  <si>
    <t>1.Find the Product Name for Product ID P1006.</t>
  </si>
  <si>
    <t>2.Find the Price for Product ID P1008.</t>
  </si>
  <si>
    <t>3.Find the Brand for Product ID P1003.</t>
  </si>
  <si>
    <t>4.Find the Stock for Product ID P1005.</t>
  </si>
  <si>
    <t>5.Find the Category for Product ID P1004.</t>
  </si>
  <si>
    <t>6.Find the Customer Name for C007.</t>
  </si>
  <si>
    <t>7.Find the City for C010.</t>
  </si>
  <si>
    <t>8.Find the State for **C003*</t>
  </si>
  <si>
    <t>9.Find the Gender for **C006**.</t>
  </si>
  <si>
    <t>10.Find the Store Name for **S003**</t>
  </si>
  <si>
    <t>11.Find the Store City for **S005**.</t>
  </si>
  <si>
    <t>12.Find the Store State for **S002**.</t>
  </si>
  <si>
    <t>13.Retrieve the Product Name for every Product ID in the Sales sheet.</t>
  </si>
  <si>
    <t>Product name</t>
  </si>
  <si>
    <t>product name</t>
  </si>
  <si>
    <t>Retrieve the Customer Name for every Customer ID in the Sales sheet</t>
  </si>
  <si>
    <t>cutomer name</t>
  </si>
  <si>
    <t>store name</t>
  </si>
  <si>
    <t>Retrieve the Product Price for every Product ID in the Sales sheet</t>
  </si>
  <si>
    <t>price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</si>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</sst>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onsolas"/>
      <family val="3"/>
    </font>
    <font>
      <b/>
      <sz val="11"/>
      <color theme="1"/>
      <name val="Consolas"/>
      <family val="3"/>
    </font>
    <font>
      <sz val="12"/>
      <color theme="1"/>
      <name val="Segoe UI"/>
      <family val="2"/>
    </font>
    <font>
      <b/>
      <sz val="12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21314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Font="1"/>
    <xf numFmtId="0" fontId="1" fillId="2" borderId="2" xfId="0" applyFont="1" applyFill="1" applyBorder="1"/>
    <xf numFmtId="0" fontId="4" fillId="0" borderId="0" xfId="0" applyFont="1" applyAlignment="1">
      <alignment vertical="center"/>
    </xf>
    <xf numFmtId="0" fontId="0" fillId="4" borderId="0" xfId="0" applyFont="1" applyFill="1" applyAlignment="1">
      <alignment vertical="center"/>
    </xf>
    <xf numFmtId="0" fontId="0" fillId="3" borderId="2" xfId="0" applyFont="1" applyFill="1" applyBorder="1"/>
    <xf numFmtId="0" fontId="0" fillId="0" borderId="2" xfId="0" applyFont="1" applyBorder="1"/>
    <xf numFmtId="15" fontId="0" fillId="0" borderId="0" xfId="0" applyNumberFormat="1" applyFont="1"/>
    <xf numFmtId="0" fontId="2" fillId="0" borderId="0" xfId="0" applyFont="1"/>
    <xf numFmtId="0" fontId="2" fillId="5" borderId="0" xfId="0" applyFont="1" applyFill="1"/>
    <xf numFmtId="0" fontId="0" fillId="5" borderId="0" xfId="0" applyFill="1"/>
    <xf numFmtId="0" fontId="6" fillId="5" borderId="0" xfId="0" applyFont="1" applyFill="1"/>
    <xf numFmtId="0" fontId="5" fillId="5" borderId="0" xfId="0" applyFont="1" applyFill="1"/>
    <xf numFmtId="0" fontId="0" fillId="0" borderId="0" xfId="0" applyNumberFormat="1" applyFont="1"/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0" formatCode="dd/m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F942AD2-5306-406E-8A75-65A2415670A6}" name="Table7" displayName="Table7" ref="A1:E11" totalsRowShown="0" dataDxfId="19">
  <autoFilter ref="A1:E11" xr:uid="{5F942AD2-5306-406E-8A75-65A2415670A6}"/>
  <tableColumns count="5">
    <tableColumn id="1" xr3:uid="{DADCC717-E1AE-4444-AD8E-A98CDB0A56DE}" name="Customer id" dataDxfId="24"/>
    <tableColumn id="2" xr3:uid="{39A30BBB-0D54-4DF1-91E2-31E8EE89D8C2}" name="Customer Name" dataDxfId="23"/>
    <tableColumn id="3" xr3:uid="{9043195E-5D32-421E-B973-B8B09D5E91D7}" name="City" dataDxfId="22"/>
    <tableColumn id="4" xr3:uid="{B12B11CC-912C-419B-9C69-BB99A4361BE4}" name="State" dataDxfId="21"/>
    <tableColumn id="5" xr3:uid="{4EB41D40-EFDD-4655-A2CF-8E673854CFE0}" name="Gender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E4CFB35-F379-41B3-A8B9-1D9628CB151F}" name="Table8" displayName="Table8" ref="A1:F11" totalsRowShown="0">
  <autoFilter ref="A1:F11" xr:uid="{9E4CFB35-F379-41B3-A8B9-1D9628CB151F}"/>
  <tableColumns count="6">
    <tableColumn id="1" xr3:uid="{3B39501F-B46C-4375-BFE4-965A9000119F}" name="Product id"/>
    <tableColumn id="3" xr3:uid="{5A0BE9F6-30DA-4E61-B62D-240AD0E0B197}" name="Product name"/>
    <tableColumn id="4" xr3:uid="{90FABDC1-3F0A-483B-AB6F-9D417B9D13F7}" name="Category"/>
    <tableColumn id="5" xr3:uid="{6FDBF845-0E49-4607-8F5D-DB249AF5B713}" name="Brand"/>
    <tableColumn id="6" xr3:uid="{313CFBB1-E193-4D60-A45B-79AEE0D82821}" name="Price"/>
    <tableColumn id="7" xr3:uid="{A9035D16-337F-42AA-AD63-76EE9ECCB4CB}" name="Stoc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1D10DB0-AA2F-481B-A26F-91C5502ED080}" name="Table10" displayName="Table10" ref="A1:D6" totalsRowShown="0" headerRowDxfId="13" dataDxfId="14">
  <autoFilter ref="A1:D6" xr:uid="{91D10DB0-AA2F-481B-A26F-91C5502ED080}"/>
  <tableColumns count="4">
    <tableColumn id="1" xr3:uid="{AC4C95F9-FC2B-4C5C-97AE-6381FEADB340}" name="Store ID" dataDxfId="18"/>
    <tableColumn id="2" xr3:uid="{8FB74DB4-C146-4FC5-95B7-62B697E6D11D}" name="Store Name" dataDxfId="17"/>
    <tableColumn id="3" xr3:uid="{CF7BFF84-E0C0-48BD-B244-6490DD263335}" name="City" dataDxfId="16"/>
    <tableColumn id="4" xr3:uid="{699D426A-3878-4BD0-9037-1F937F40BD31}" name="State" dataDxfId="1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EAA1E67-2072-43C6-808D-2BB248757921}" name="Table11" displayName="Table11" ref="A1:K16" totalsRowShown="0" headerRowDxfId="7" dataDxfId="8">
  <autoFilter ref="A1:K16" xr:uid="{0EAA1E67-2072-43C6-808D-2BB248757921}"/>
  <tableColumns count="11">
    <tableColumn id="1" xr3:uid="{3652164A-F690-4642-BE52-B16AAF23254B}" name="Sale ID" dataDxfId="12"/>
    <tableColumn id="2" xr3:uid="{7C980CF2-3AFA-433B-B9DE-8E12C923FBBC}" name="Product ID" dataDxfId="11"/>
    <tableColumn id="3" xr3:uid="{FA40A350-A0DD-480B-858C-183FA1F666C6}" name="Customer ID" dataDxfId="10"/>
    <tableColumn id="4" xr3:uid="{6C3FACBB-C203-4438-AE06-5534E7FC87F2}" name="Quantity" dataDxfId="1"/>
    <tableColumn id="5" xr3:uid="{B7AC8BC2-391B-481A-A5D6-41740462F172}" name="Date" dataDxfId="2"/>
    <tableColumn id="6" xr3:uid="{D8128F8C-F536-4E44-9F73-7D2E1365EC6C}" name="Store ID" dataDxfId="9"/>
    <tableColumn id="7" xr3:uid="{A088A2E5-57DC-46C0-9425-9D6751FCF3CE}" name="product name" dataDxfId="6">
      <calculatedColumnFormula>INDEX(Table8[[#All],[Product name]],MATCH(Table11[[#This Row],[Product ID]],Table8[[#All],[Product id]],0))</calculatedColumnFormula>
    </tableColumn>
    <tableColumn id="8" xr3:uid="{AA645FC5-939F-49C5-917B-61425D4FD4D3}" name="cutomer name" dataDxfId="5">
      <calculatedColumnFormula>INDEX(Table7[[#All],[Customer Name]],MATCH(Table11[[#This Row],[Customer ID]],Table7[[#All],[Customer id]],0))</calculatedColumnFormula>
    </tableColumn>
    <tableColumn id="9" xr3:uid="{6BA84881-470B-4984-8E22-F25327B059D7}" name="store name" dataDxfId="4">
      <calculatedColumnFormula>INDEX(Table10[[#All],[Store Name]],MATCH(Table11[[#This Row],[Store ID]],Table10[[#All],[Store ID]],0))</calculatedColumnFormula>
    </tableColumn>
    <tableColumn id="10" xr3:uid="{A4BCD0D9-32B2-4A4E-BEF0-892B24CFE7CC}" name="price" dataDxfId="3">
      <calculatedColumnFormula>INDEX(Table8[[#All],[Price]],MATCH(Table11[[#This Row],[Product ID]],Table8[[#All],[Product id]],0))</calculatedColumnFormula>
    </tableColumn>
    <tableColumn id="11" xr3:uid="{1A79EE65-1C48-4053-9FB2-2C2E21998D92}" name="total sales" dataDxfId="0">
      <calculatedColumnFormula>(Table11[[#This Row],[price]]*Table11[[#This Row],[Quantity]])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A5361-991F-4163-8A73-C516D65334F8}">
  <dimension ref="A1:H23"/>
  <sheetViews>
    <sheetView workbookViewId="0">
      <selection activeCell="A24" sqref="A24"/>
    </sheetView>
  </sheetViews>
  <sheetFormatPr defaultRowHeight="15" x14ac:dyDescent="0.25"/>
  <cols>
    <col min="1" max="1" width="14.5703125" customWidth="1"/>
    <col min="2" max="2" width="17.85546875" customWidth="1"/>
    <col min="3" max="3" width="11.28515625" customWidth="1"/>
    <col min="4" max="4" width="15.85546875" bestFit="1" customWidth="1"/>
    <col min="5" max="8" width="11.28515625" customWidth="1"/>
  </cols>
  <sheetData>
    <row r="1" spans="1:8" x14ac:dyDescent="0.25">
      <c r="A1" t="s">
        <v>84</v>
      </c>
      <c r="B1" t="s">
        <v>42</v>
      </c>
      <c r="C1" t="s">
        <v>43</v>
      </c>
      <c r="D1" t="s">
        <v>44</v>
      </c>
      <c r="E1" t="s">
        <v>45</v>
      </c>
    </row>
    <row r="2" spans="1:8" x14ac:dyDescent="0.25">
      <c r="A2" s="1" t="s">
        <v>46</v>
      </c>
      <c r="B2" s="2" t="s">
        <v>47</v>
      </c>
      <c r="C2" s="2" t="s">
        <v>48</v>
      </c>
      <c r="D2" s="2" t="s">
        <v>49</v>
      </c>
      <c r="E2" s="2" t="s">
        <v>50</v>
      </c>
      <c r="F2" s="2"/>
      <c r="G2" s="2"/>
      <c r="H2" s="2"/>
    </row>
    <row r="3" spans="1:8" x14ac:dyDescent="0.25">
      <c r="A3" s="1" t="s">
        <v>51</v>
      </c>
      <c r="B3" s="2" t="s">
        <v>52</v>
      </c>
      <c r="C3" s="2" t="s">
        <v>53</v>
      </c>
      <c r="D3" s="2" t="s">
        <v>49</v>
      </c>
      <c r="E3" s="2" t="s">
        <v>54</v>
      </c>
      <c r="F3" s="2"/>
      <c r="G3" s="2"/>
      <c r="H3" s="2"/>
    </row>
    <row r="4" spans="1:8" x14ac:dyDescent="0.25">
      <c r="A4" s="1" t="s">
        <v>55</v>
      </c>
      <c r="B4" s="2" t="s">
        <v>56</v>
      </c>
      <c r="C4" s="2" t="s">
        <v>57</v>
      </c>
      <c r="D4" s="2" t="s">
        <v>58</v>
      </c>
      <c r="E4" s="2" t="s">
        <v>50</v>
      </c>
      <c r="F4" s="2"/>
      <c r="G4" s="2"/>
      <c r="H4" s="2"/>
    </row>
    <row r="5" spans="1:8" x14ac:dyDescent="0.25">
      <c r="A5" s="1" t="s">
        <v>59</v>
      </c>
      <c r="B5" s="2" t="s">
        <v>60</v>
      </c>
      <c r="C5" s="2" t="s">
        <v>61</v>
      </c>
      <c r="D5" s="2" t="s">
        <v>58</v>
      </c>
      <c r="E5" s="2" t="s">
        <v>54</v>
      </c>
      <c r="F5" s="2"/>
      <c r="G5" s="2"/>
      <c r="H5" s="2"/>
    </row>
    <row r="6" spans="1:8" x14ac:dyDescent="0.25">
      <c r="A6" s="1" t="s">
        <v>62</v>
      </c>
      <c r="B6" s="2" t="s">
        <v>63</v>
      </c>
      <c r="C6" s="2" t="s">
        <v>64</v>
      </c>
      <c r="D6" s="2" t="s">
        <v>65</v>
      </c>
      <c r="E6" s="2" t="s">
        <v>50</v>
      </c>
      <c r="F6" s="2"/>
      <c r="G6" s="2"/>
      <c r="H6" s="2"/>
    </row>
    <row r="7" spans="1:8" x14ac:dyDescent="0.25">
      <c r="A7" s="1" t="s">
        <v>66</v>
      </c>
      <c r="B7" s="2" t="s">
        <v>67</v>
      </c>
      <c r="C7" s="2" t="s">
        <v>68</v>
      </c>
      <c r="D7" s="2" t="s">
        <v>68</v>
      </c>
      <c r="E7" s="2" t="s">
        <v>54</v>
      </c>
      <c r="F7" s="2"/>
      <c r="G7" s="2"/>
      <c r="H7" s="2"/>
    </row>
    <row r="8" spans="1:8" x14ac:dyDescent="0.25">
      <c r="A8" s="1" t="s">
        <v>69</v>
      </c>
      <c r="B8" s="2" t="s">
        <v>70</v>
      </c>
      <c r="C8" s="2" t="s">
        <v>71</v>
      </c>
      <c r="D8" s="2" t="s">
        <v>72</v>
      </c>
      <c r="E8" s="2" t="s">
        <v>50</v>
      </c>
      <c r="F8" s="2"/>
      <c r="G8" s="2"/>
      <c r="H8" s="2"/>
    </row>
    <row r="9" spans="1:8" x14ac:dyDescent="0.25">
      <c r="A9" s="1" t="s">
        <v>73</v>
      </c>
      <c r="B9" s="2" t="s">
        <v>74</v>
      </c>
      <c r="C9" s="2" t="s">
        <v>75</v>
      </c>
      <c r="D9" s="2" t="s">
        <v>76</v>
      </c>
      <c r="E9" s="2" t="s">
        <v>54</v>
      </c>
      <c r="F9" s="2"/>
      <c r="G9" s="2"/>
      <c r="H9" s="2"/>
    </row>
    <row r="10" spans="1:8" x14ac:dyDescent="0.25">
      <c r="A10" s="1" t="s">
        <v>77</v>
      </c>
      <c r="B10" s="2" t="s">
        <v>78</v>
      </c>
      <c r="C10" s="2" t="s">
        <v>79</v>
      </c>
      <c r="D10" s="2" t="s">
        <v>49</v>
      </c>
      <c r="E10" s="2" t="s">
        <v>50</v>
      </c>
      <c r="F10" s="2"/>
      <c r="G10" s="2"/>
      <c r="H10" s="2"/>
    </row>
    <row r="11" spans="1:8" x14ac:dyDescent="0.25">
      <c r="A11" s="1" t="s">
        <v>80</v>
      </c>
      <c r="B11" s="2" t="s">
        <v>81</v>
      </c>
      <c r="C11" s="2" t="s">
        <v>82</v>
      </c>
      <c r="D11" s="2" t="s">
        <v>83</v>
      </c>
      <c r="E11" s="2" t="s">
        <v>54</v>
      </c>
      <c r="F11" s="2"/>
      <c r="G11" s="2"/>
      <c r="H11" s="2"/>
    </row>
    <row r="13" spans="1:8" x14ac:dyDescent="0.25">
      <c r="A13" s="11" t="s">
        <v>160</v>
      </c>
    </row>
    <row r="14" spans="1:8" x14ac:dyDescent="0.25">
      <c r="A14" t="str">
        <f>INDEX(Table7[[#All],[Customer Name]],MATCH(A8,Table7[[#All],[Customer id]]))</f>
        <v>Rohan Gupta</v>
      </c>
    </row>
    <row r="16" spans="1:8" ht="17.25" x14ac:dyDescent="0.3">
      <c r="A16" s="13" t="s">
        <v>161</v>
      </c>
      <c r="B16" s="11"/>
    </row>
    <row r="17" spans="1:2" x14ac:dyDescent="0.25">
      <c r="A17" t="str">
        <f>INDEX(Table7[[#All],[City]],MATCH(A11,Table7[[#All],[Customer id]]))</f>
        <v>Kochi</v>
      </c>
    </row>
    <row r="19" spans="1:2" x14ac:dyDescent="0.25">
      <c r="A19" s="10" t="s">
        <v>162</v>
      </c>
      <c r="B19" s="11"/>
    </row>
    <row r="20" spans="1:2" x14ac:dyDescent="0.25">
      <c r="A20" t="str">
        <f>INDEX(Table7[[#All],[State]],MATCH(A4,Table7[[#All],[Customer id]]))</f>
        <v>Maharashtra</v>
      </c>
    </row>
    <row r="22" spans="1:2" x14ac:dyDescent="0.25">
      <c r="A22" s="10" t="s">
        <v>163</v>
      </c>
      <c r="B22" s="11"/>
    </row>
    <row r="23" spans="1:2" x14ac:dyDescent="0.25">
      <c r="A23" t="str">
        <f>INDEX(Table7[[#All],[Gender]],MATCH(A7,Table7[[#All],[Customer id]]))</f>
        <v>Female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6C968-89A3-4D75-9041-24E70C1EF50F}">
  <dimension ref="A1:F29"/>
  <sheetViews>
    <sheetView zoomScale="87" zoomScaleNormal="87" workbookViewId="0">
      <selection activeCell="F8" sqref="F8"/>
    </sheetView>
  </sheetViews>
  <sheetFormatPr defaultRowHeight="15" x14ac:dyDescent="0.25"/>
  <cols>
    <col min="1" max="1" width="10.140625" customWidth="1"/>
    <col min="2" max="2" width="15.85546875" customWidth="1"/>
    <col min="3" max="3" width="11.28515625" customWidth="1"/>
  </cols>
  <sheetData>
    <row r="1" spans="1:6" x14ac:dyDescent="0.25">
      <c r="A1" t="s">
        <v>154</v>
      </c>
      <c r="B1" t="s">
        <v>168</v>
      </c>
      <c r="C1" t="s">
        <v>85</v>
      </c>
      <c r="D1" t="s">
        <v>86</v>
      </c>
      <c r="E1" t="s">
        <v>87</v>
      </c>
      <c r="F1" t="s">
        <v>88</v>
      </c>
    </row>
    <row r="2" spans="1:6" x14ac:dyDescent="0.25">
      <c r="A2" t="s">
        <v>90</v>
      </c>
      <c r="B2" t="s">
        <v>91</v>
      </c>
      <c r="C2" t="s">
        <v>92</v>
      </c>
      <c r="D2" t="s">
        <v>93</v>
      </c>
      <c r="E2">
        <v>55000</v>
      </c>
      <c r="F2">
        <v>25</v>
      </c>
    </row>
    <row r="3" spans="1:6" x14ac:dyDescent="0.25">
      <c r="A3" t="s">
        <v>94</v>
      </c>
      <c r="B3" t="s">
        <v>95</v>
      </c>
      <c r="C3" t="s">
        <v>92</v>
      </c>
      <c r="D3" t="s">
        <v>96</v>
      </c>
      <c r="E3">
        <v>32000</v>
      </c>
      <c r="F3">
        <v>40</v>
      </c>
    </row>
    <row r="4" spans="1:6" x14ac:dyDescent="0.25">
      <c r="A4" t="s">
        <v>97</v>
      </c>
      <c r="B4" t="s">
        <v>98</v>
      </c>
      <c r="C4" t="s">
        <v>92</v>
      </c>
      <c r="D4" t="s">
        <v>99</v>
      </c>
      <c r="E4">
        <v>4500</v>
      </c>
      <c r="F4">
        <v>80</v>
      </c>
    </row>
    <row r="5" spans="1:6" x14ac:dyDescent="0.25">
      <c r="A5" t="s">
        <v>100</v>
      </c>
      <c r="B5" t="s">
        <v>101</v>
      </c>
      <c r="C5" t="s">
        <v>102</v>
      </c>
      <c r="D5" t="s">
        <v>103</v>
      </c>
      <c r="E5">
        <v>1800</v>
      </c>
      <c r="F5">
        <v>65</v>
      </c>
    </row>
    <row r="6" spans="1:6" x14ac:dyDescent="0.25">
      <c r="A6" t="s">
        <v>104</v>
      </c>
      <c r="B6" t="s">
        <v>105</v>
      </c>
      <c r="C6" t="s">
        <v>102</v>
      </c>
      <c r="D6" t="s">
        <v>106</v>
      </c>
      <c r="E6">
        <v>900</v>
      </c>
      <c r="F6">
        <v>120</v>
      </c>
    </row>
    <row r="7" spans="1:6" x14ac:dyDescent="0.25">
      <c r="A7" t="s">
        <v>107</v>
      </c>
      <c r="B7" t="s">
        <v>108</v>
      </c>
      <c r="C7" t="s">
        <v>92</v>
      </c>
      <c r="D7" t="s">
        <v>109</v>
      </c>
      <c r="E7">
        <v>12500</v>
      </c>
      <c r="F7">
        <v>18</v>
      </c>
    </row>
    <row r="8" spans="1:6" x14ac:dyDescent="0.25">
      <c r="A8" t="s">
        <v>110</v>
      </c>
      <c r="B8" t="s">
        <v>111</v>
      </c>
      <c r="C8" t="s">
        <v>112</v>
      </c>
      <c r="D8" t="s">
        <v>113</v>
      </c>
      <c r="E8">
        <v>8500</v>
      </c>
      <c r="F8">
        <v>20</v>
      </c>
    </row>
    <row r="9" spans="1:6" x14ac:dyDescent="0.25">
      <c r="A9" t="s">
        <v>114</v>
      </c>
      <c r="B9" t="s">
        <v>115</v>
      </c>
      <c r="C9" t="s">
        <v>112</v>
      </c>
      <c r="D9" t="s">
        <v>116</v>
      </c>
      <c r="E9">
        <v>12000</v>
      </c>
      <c r="F9">
        <v>15</v>
      </c>
    </row>
    <row r="10" spans="1:6" x14ac:dyDescent="0.25">
      <c r="A10" t="s">
        <v>117</v>
      </c>
      <c r="B10" t="s">
        <v>118</v>
      </c>
      <c r="C10" t="s">
        <v>92</v>
      </c>
      <c r="D10" t="s">
        <v>119</v>
      </c>
      <c r="E10">
        <v>16000</v>
      </c>
      <c r="F10">
        <v>30</v>
      </c>
    </row>
    <row r="11" spans="1:6" x14ac:dyDescent="0.25">
      <c r="A11" t="s">
        <v>120</v>
      </c>
      <c r="B11" t="s">
        <v>121</v>
      </c>
      <c r="C11" t="s">
        <v>102</v>
      </c>
      <c r="D11" t="s">
        <v>103</v>
      </c>
      <c r="E11">
        <v>3500</v>
      </c>
      <c r="F11">
        <v>50</v>
      </c>
    </row>
    <row r="14" spans="1:6" x14ac:dyDescent="0.25">
      <c r="A14" s="10" t="s">
        <v>155</v>
      </c>
      <c r="B14" s="10"/>
      <c r="C14" s="10"/>
      <c r="D14" s="11"/>
    </row>
    <row r="15" spans="1:6" x14ac:dyDescent="0.25">
      <c r="A15" t="str">
        <f>VLOOKUP(A7,Table8[[#All],[Product id]:[Product name]],2)</f>
        <v>Printer</v>
      </c>
    </row>
    <row r="16" spans="1:6" x14ac:dyDescent="0.25">
      <c r="A16" t="str">
        <f>INDEX(Table8[[#All],[Product name]],MATCH(A7,Table8[[#All],[Product id]]))</f>
        <v>Printer</v>
      </c>
    </row>
    <row r="17" spans="1:4" ht="17.25" x14ac:dyDescent="0.3">
      <c r="A17" s="12" t="s">
        <v>156</v>
      </c>
      <c r="B17" s="10"/>
      <c r="C17" s="10"/>
      <c r="D17" s="11"/>
    </row>
    <row r="18" spans="1:4" x14ac:dyDescent="0.25">
      <c r="A18">
        <f>INDEX(Table8[[#All],[Price]],MATCH(A9,Table8[[#All],[Product id]]))</f>
        <v>12000</v>
      </c>
    </row>
    <row r="20" spans="1:4" ht="17.25" x14ac:dyDescent="0.3">
      <c r="A20" s="12" t="s">
        <v>157</v>
      </c>
      <c r="B20" s="10"/>
      <c r="C20" s="10"/>
      <c r="D20" s="10"/>
    </row>
    <row r="21" spans="1:4" x14ac:dyDescent="0.25">
      <c r="A21" t="str">
        <f>INDEX(Table8[[#All],[Brand]],MATCH(A4,Table8[[#All],[Product id]]))</f>
        <v>Sony</v>
      </c>
    </row>
    <row r="23" spans="1:4" ht="17.25" x14ac:dyDescent="0.3">
      <c r="A23" s="12" t="s">
        <v>158</v>
      </c>
      <c r="B23" s="10"/>
      <c r="C23" s="10"/>
      <c r="D23" s="10"/>
    </row>
    <row r="24" spans="1:4" x14ac:dyDescent="0.25">
      <c r="A24">
        <f>INDEX(Table8[[#All],[Stock]],MATCH(A6,Table8[[#All],[Product id]]))</f>
        <v>120</v>
      </c>
    </row>
    <row r="25" spans="1:4" x14ac:dyDescent="0.25">
      <c r="A25" s="9"/>
    </row>
    <row r="26" spans="1:4" ht="17.25" x14ac:dyDescent="0.3">
      <c r="A26" s="12" t="s">
        <v>159</v>
      </c>
      <c r="B26" s="10"/>
      <c r="C26" s="10"/>
      <c r="D26" s="10"/>
    </row>
    <row r="27" spans="1:4" x14ac:dyDescent="0.25">
      <c r="A27" t="str">
        <f>INDEX(Table8[[#All],[Category]],MATCH(A5,Table8[[#All],[Product id]]))</f>
        <v>Accessories</v>
      </c>
    </row>
    <row r="29" spans="1:4" x14ac:dyDescent="0.25">
      <c r="A29" s="10" t="s">
        <v>167</v>
      </c>
      <c r="B29" s="10"/>
      <c r="C29" s="10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7F34F-045E-42FD-9DF4-C90419538979}">
  <dimension ref="A1:G16"/>
  <sheetViews>
    <sheetView workbookViewId="0">
      <selection activeCell="A17" sqref="A17"/>
    </sheetView>
  </sheetViews>
  <sheetFormatPr defaultRowHeight="15" x14ac:dyDescent="0.25"/>
  <cols>
    <col min="1" max="1" width="18.85546875" customWidth="1"/>
    <col min="2" max="2" width="13.7109375" customWidth="1"/>
    <col min="3" max="7" width="11.28515625" customWidth="1"/>
  </cols>
  <sheetData>
    <row r="1" spans="1:7" x14ac:dyDescent="0.25">
      <c r="A1" s="1" t="s">
        <v>122</v>
      </c>
      <c r="B1" s="2" t="s">
        <v>123</v>
      </c>
      <c r="C1" s="2" t="s">
        <v>43</v>
      </c>
      <c r="D1" s="2" t="s">
        <v>44</v>
      </c>
      <c r="E1" s="2"/>
      <c r="F1" s="2"/>
      <c r="G1" s="2"/>
    </row>
    <row r="2" spans="1:7" x14ac:dyDescent="0.25">
      <c r="A2" s="1" t="s">
        <v>124</v>
      </c>
      <c r="B2" s="2" t="s">
        <v>125</v>
      </c>
      <c r="C2" s="2" t="s">
        <v>48</v>
      </c>
      <c r="D2" s="2" t="s">
        <v>49</v>
      </c>
      <c r="E2" s="2"/>
      <c r="F2" s="2"/>
      <c r="G2" s="2"/>
    </row>
    <row r="3" spans="1:7" x14ac:dyDescent="0.25">
      <c r="A3" s="1" t="s">
        <v>126</v>
      </c>
      <c r="B3" s="2" t="s">
        <v>127</v>
      </c>
      <c r="C3" s="2" t="s">
        <v>53</v>
      </c>
      <c r="D3" s="2" t="s">
        <v>49</v>
      </c>
      <c r="E3" s="2"/>
      <c r="F3" s="2"/>
      <c r="G3" s="2"/>
    </row>
    <row r="4" spans="1:7" x14ac:dyDescent="0.25">
      <c r="A4" s="1" t="s">
        <v>128</v>
      </c>
      <c r="B4" s="2" t="s">
        <v>129</v>
      </c>
      <c r="C4" s="2" t="s">
        <v>57</v>
      </c>
      <c r="D4" s="2" t="s">
        <v>58</v>
      </c>
      <c r="E4" s="2"/>
      <c r="F4" s="2"/>
      <c r="G4" s="2"/>
    </row>
    <row r="5" spans="1:7" x14ac:dyDescent="0.25">
      <c r="A5" s="1" t="s">
        <v>130</v>
      </c>
      <c r="B5" s="2" t="s">
        <v>131</v>
      </c>
      <c r="C5" s="2" t="s">
        <v>61</v>
      </c>
      <c r="D5" s="2" t="s">
        <v>58</v>
      </c>
      <c r="E5" s="2"/>
      <c r="F5" s="2"/>
      <c r="G5" s="2"/>
    </row>
    <row r="6" spans="1:7" x14ac:dyDescent="0.25">
      <c r="A6" t="s">
        <v>132</v>
      </c>
      <c r="B6" t="s">
        <v>133</v>
      </c>
      <c r="C6" t="s">
        <v>64</v>
      </c>
      <c r="D6" t="s">
        <v>65</v>
      </c>
    </row>
    <row r="9" spans="1:7" x14ac:dyDescent="0.25">
      <c r="A9" s="11" t="s">
        <v>164</v>
      </c>
    </row>
    <row r="10" spans="1:7" x14ac:dyDescent="0.25">
      <c r="A10" t="str">
        <f>INDEX(Table10[[#All],[Store Name]],MATCH(A4,Table10[[#All],[Store ID]]))</f>
        <v>Central Store</v>
      </c>
    </row>
    <row r="12" spans="1:7" x14ac:dyDescent="0.25">
      <c r="A12" s="11" t="s">
        <v>165</v>
      </c>
      <c r="B12" s="11"/>
    </row>
    <row r="13" spans="1:7" x14ac:dyDescent="0.25">
      <c r="A13" t="str">
        <f>INDEX(Table10[[#All],[City]],MATCH(A6,Table10[[#All],[Store ID]]))</f>
        <v>Jaipur</v>
      </c>
    </row>
    <row r="15" spans="1:7" x14ac:dyDescent="0.25">
      <c r="A15" s="11" t="s">
        <v>166</v>
      </c>
      <c r="B15" s="11"/>
    </row>
    <row r="16" spans="1:7" x14ac:dyDescent="0.25">
      <c r="A16" t="str">
        <f>INDEX(Table10[[#All],[State]],MATCH(A3,Table10[[#All],[Store ID]]))</f>
        <v>Gujarat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86118-EEF8-4DFE-8963-EAA2D316882D}">
  <dimension ref="A1:K37"/>
  <sheetViews>
    <sheetView tabSelected="1" workbookViewId="0">
      <selection activeCell="K3" sqref="K3"/>
    </sheetView>
  </sheetViews>
  <sheetFormatPr defaultRowHeight="15" x14ac:dyDescent="0.25"/>
  <cols>
    <col min="1" max="1" width="21" customWidth="1"/>
    <col min="2" max="2" width="12.5703125" customWidth="1"/>
    <col min="3" max="3" width="14.5703125" customWidth="1"/>
    <col min="4" max="4" width="11.28515625" style="16" customWidth="1"/>
    <col min="5" max="7" width="11.28515625" customWidth="1"/>
    <col min="8" max="8" width="13.28515625" customWidth="1"/>
    <col min="9" max="9" width="11.28515625" customWidth="1"/>
  </cols>
  <sheetData>
    <row r="1" spans="1:11" x14ac:dyDescent="0.25">
      <c r="A1" s="1" t="s">
        <v>134</v>
      </c>
      <c r="B1" s="2" t="s">
        <v>135</v>
      </c>
      <c r="C1" s="2" t="s">
        <v>136</v>
      </c>
      <c r="D1" s="15" t="s">
        <v>137</v>
      </c>
      <c r="E1" s="2" t="s">
        <v>138</v>
      </c>
      <c r="F1" s="2" t="s">
        <v>122</v>
      </c>
      <c r="G1" s="2" t="s">
        <v>169</v>
      </c>
      <c r="H1" s="2" t="s">
        <v>171</v>
      </c>
      <c r="I1" s="2" t="s">
        <v>172</v>
      </c>
      <c r="J1" s="2" t="s">
        <v>174</v>
      </c>
      <c r="K1" s="2" t="s">
        <v>175</v>
      </c>
    </row>
    <row r="2" spans="1:11" x14ac:dyDescent="0.25">
      <c r="A2" s="1" t="s">
        <v>139</v>
      </c>
      <c r="B2" s="2" t="s">
        <v>90</v>
      </c>
      <c r="C2" s="2" t="s">
        <v>46</v>
      </c>
      <c r="D2" s="15">
        <v>1</v>
      </c>
      <c r="E2" s="8">
        <v>46023</v>
      </c>
      <c r="F2" s="2" t="s">
        <v>124</v>
      </c>
      <c r="G2" t="str">
        <f>INDEX(Table8[[#All],[Product name]],MATCH(Table11[[#This Row],[Product ID]],Table8[[#All],[Product id]],0))</f>
        <v>Laptop</v>
      </c>
      <c r="H2" s="2" t="str">
        <f>INDEX(Table7[[#All],[Customer Name]],MATCH(Table11[[#This Row],[Customer ID]],Table7[[#All],[Customer id]],0))</f>
        <v>Amit Patel</v>
      </c>
      <c r="I2" s="2" t="str">
        <f>INDEX(Table10[[#All],[Store Name]],MATCH(Table11[[#This Row],[Store ID]],Table10[[#All],[Store ID]],0))</f>
        <v>Alpha Store</v>
      </c>
      <c r="J2" s="14">
        <f>INDEX(Table8[[#All],[Price]],MATCH(Table11[[#This Row],[Product ID]],Table8[[#All],[Product id]],0))</f>
        <v>55000</v>
      </c>
      <c r="K2" s="14">
        <f>(Table11[[#This Row],[price]]*Table11[[#This Row],[Quantity]])</f>
        <v>55000</v>
      </c>
    </row>
    <row r="3" spans="1:11" x14ac:dyDescent="0.25">
      <c r="A3" s="1" t="s">
        <v>140</v>
      </c>
      <c r="B3" s="2" t="s">
        <v>104</v>
      </c>
      <c r="C3" s="2" t="s">
        <v>51</v>
      </c>
      <c r="D3" s="15">
        <v>3</v>
      </c>
      <c r="E3" s="8">
        <v>46024</v>
      </c>
      <c r="F3" s="2" t="s">
        <v>126</v>
      </c>
      <c r="G3" t="str">
        <f>INDEX(Table8[[#All],[Product name]],MATCH(Table11[[#This Row],[Product ID]],Table8[[#All],[Product id]],0))</f>
        <v>Mouse</v>
      </c>
      <c r="H3" s="2" t="str">
        <f>INDEX(Table7[[#All],[Customer Name]],MATCH(Table11[[#This Row],[Customer ID]],Table7[[#All],[Customer id]],0))</f>
        <v>Priya Shah</v>
      </c>
      <c r="I3" s="2" t="str">
        <f>INDEX(Table10[[#All],[Store Name]],MATCH(Table11[[#This Row],[Store ID]],Table10[[#All],[Store ID]],0))</f>
        <v>Beta Store</v>
      </c>
      <c r="J3" s="14">
        <f>INDEX(Table8[[#All],[Price]],MATCH(Table11[[#This Row],[Product ID]],Table8[[#All],[Product id]],0))</f>
        <v>900</v>
      </c>
      <c r="K3" s="14">
        <f>(Table11[[#This Row],[price]]*Table11[[#This Row],[Quantity]])</f>
        <v>2700</v>
      </c>
    </row>
    <row r="4" spans="1:11" x14ac:dyDescent="0.25">
      <c r="A4" s="1" t="s">
        <v>141</v>
      </c>
      <c r="B4" s="2" t="s">
        <v>97</v>
      </c>
      <c r="C4" s="2" t="s">
        <v>55</v>
      </c>
      <c r="D4" s="15">
        <v>2</v>
      </c>
      <c r="E4" s="8">
        <v>46025</v>
      </c>
      <c r="F4" s="2" t="s">
        <v>128</v>
      </c>
      <c r="G4" t="str">
        <f>INDEX(Table8[[#All],[Product name]],MATCH(Table11[[#This Row],[Product ID]],Table8[[#All],[Product id]],0))</f>
        <v>Headphones</v>
      </c>
      <c r="H4" s="2" t="str">
        <f>INDEX(Table7[[#All],[Customer Name]],MATCH(Table11[[#This Row],[Customer ID]],Table7[[#All],[Customer id]],0))</f>
        <v>Rahul Mehta</v>
      </c>
      <c r="I4" s="2" t="str">
        <f>INDEX(Table10[[#All],[Store Name]],MATCH(Table11[[#This Row],[Store ID]],Table10[[#All],[Store ID]],0))</f>
        <v>Central Store</v>
      </c>
      <c r="J4" s="14">
        <f>INDEX(Table8[[#All],[Price]],MATCH(Table11[[#This Row],[Product ID]],Table8[[#All],[Product id]],0))</f>
        <v>4500</v>
      </c>
      <c r="K4" s="14">
        <f>(Table11[[#This Row],[price]]*Table11[[#This Row],[Quantity]])</f>
        <v>9000</v>
      </c>
    </row>
    <row r="5" spans="1:11" x14ac:dyDescent="0.25">
      <c r="A5" s="1" t="s">
        <v>142</v>
      </c>
      <c r="B5" s="2" t="s">
        <v>117</v>
      </c>
      <c r="C5" s="2" t="s">
        <v>59</v>
      </c>
      <c r="D5" s="15">
        <v>1</v>
      </c>
      <c r="E5" s="8">
        <v>46026</v>
      </c>
      <c r="F5" s="2" t="s">
        <v>130</v>
      </c>
      <c r="G5" t="str">
        <f>INDEX(Table8[[#All],[Product name]],MATCH(Table11[[#This Row],[Product ID]],Table8[[#All],[Product id]],0))</f>
        <v>Monitor</v>
      </c>
      <c r="H5" s="2" t="str">
        <f>INDEX(Table7[[#All],[Customer Name]],MATCH(Table11[[#This Row],[Customer ID]],Table7[[#All],[Customer id]],0))</f>
        <v>Sneha Joshi</v>
      </c>
      <c r="I5" s="2" t="str">
        <f>INDEX(Table10[[#All],[Store Name]],MATCH(Table11[[#This Row],[Store ID]],Table10[[#All],[Store ID]],0))</f>
        <v>Digital Hub</v>
      </c>
      <c r="J5" s="14">
        <f>INDEX(Table8[[#All],[Price]],MATCH(Table11[[#This Row],[Product ID]],Table8[[#All],[Product id]],0))</f>
        <v>16000</v>
      </c>
      <c r="K5" s="14">
        <f>(Table11[[#This Row],[price]]*Table11[[#This Row],[Quantity]])</f>
        <v>16000</v>
      </c>
    </row>
    <row r="6" spans="1:11" x14ac:dyDescent="0.25">
      <c r="A6" s="1" t="s">
        <v>143</v>
      </c>
      <c r="B6" s="2" t="s">
        <v>94</v>
      </c>
      <c r="C6" s="2" t="s">
        <v>62</v>
      </c>
      <c r="D6" s="15">
        <v>2</v>
      </c>
      <c r="E6" s="8">
        <v>46027</v>
      </c>
      <c r="F6" s="2" t="s">
        <v>132</v>
      </c>
      <c r="G6" t="str">
        <f>INDEX(Table8[[#All],[Product name]],MATCH(Table11[[#This Row],[Product ID]],Table8[[#All],[Product id]],0))</f>
        <v>Smartphone</v>
      </c>
      <c r="H6" s="2" t="str">
        <f>INDEX(Table7[[#All],[Customer Name]],MATCH(Table11[[#This Row],[Customer ID]],Table7[[#All],[Customer id]],0))</f>
        <v>Arjun Singh</v>
      </c>
      <c r="I6" s="2" t="str">
        <f>INDEX(Table10[[#All],[Store Name]],MATCH(Table11[[#This Row],[Store ID]],Table10[[#All],[Store ID]],0))</f>
        <v>Smart World</v>
      </c>
      <c r="J6" s="14">
        <f>INDEX(Table8[[#All],[Price]],MATCH(Table11[[#This Row],[Product ID]],Table8[[#All],[Product id]],0))</f>
        <v>32000</v>
      </c>
      <c r="K6" s="14">
        <f>(Table11[[#This Row],[price]]*Table11[[#This Row],[Quantity]])</f>
        <v>64000</v>
      </c>
    </row>
    <row r="7" spans="1:11" x14ac:dyDescent="0.25">
      <c r="A7" s="1" t="s">
        <v>144</v>
      </c>
      <c r="B7" s="2" t="s">
        <v>110</v>
      </c>
      <c r="C7" s="2" t="s">
        <v>66</v>
      </c>
      <c r="D7" s="15">
        <v>1</v>
      </c>
      <c r="E7" s="8">
        <v>46028</v>
      </c>
      <c r="F7" s="2" t="s">
        <v>124</v>
      </c>
      <c r="G7" t="str">
        <f>INDEX(Table8[[#All],[Product name]],MATCH(Table11[[#This Row],[Product ID]],Table8[[#All],[Product id]],0))</f>
        <v>Office Chair</v>
      </c>
      <c r="H7" s="2" t="str">
        <f>INDEX(Table7[[#All],[Customer Name]],MATCH(Table11[[#This Row],[Customer ID]],Table7[[#All],[Customer id]],0))</f>
        <v>Neha Verma</v>
      </c>
      <c r="I7" s="2" t="str">
        <f>INDEX(Table10[[#All],[Store Name]],MATCH(Table11[[#This Row],[Store ID]],Table10[[#All],[Store ID]],0))</f>
        <v>Alpha Store</v>
      </c>
      <c r="J7" s="14">
        <f>INDEX(Table8[[#All],[Price]],MATCH(Table11[[#This Row],[Product ID]],Table8[[#All],[Product id]],0))</f>
        <v>8500</v>
      </c>
      <c r="K7" s="14">
        <f>(Table11[[#This Row],[price]]*Table11[[#This Row],[Quantity]])</f>
        <v>8500</v>
      </c>
    </row>
    <row r="8" spans="1:11" x14ac:dyDescent="0.25">
      <c r="A8" s="1" t="s">
        <v>145</v>
      </c>
      <c r="B8" s="2" t="s">
        <v>107</v>
      </c>
      <c r="C8" s="2" t="s">
        <v>69</v>
      </c>
      <c r="D8" s="15">
        <v>1</v>
      </c>
      <c r="E8" s="8">
        <v>46029</v>
      </c>
      <c r="F8" s="2" t="s">
        <v>126</v>
      </c>
      <c r="G8" t="str">
        <f>INDEX(Table8[[#All],[Product name]],MATCH(Table11[[#This Row],[Product ID]],Table8[[#All],[Product id]],0))</f>
        <v>Printer</v>
      </c>
      <c r="H8" s="2" t="str">
        <f>INDEX(Table7[[#All],[Customer Name]],MATCH(Table11[[#This Row],[Customer ID]],Table7[[#All],[Customer id]],0))</f>
        <v>Rohan Gupta</v>
      </c>
      <c r="I8" s="2" t="str">
        <f>INDEX(Table10[[#All],[Store Name]],MATCH(Table11[[#This Row],[Store ID]],Table10[[#All],[Store ID]],0))</f>
        <v>Beta Store</v>
      </c>
      <c r="J8" s="14">
        <f>INDEX(Table8[[#All],[Price]],MATCH(Table11[[#This Row],[Product ID]],Table8[[#All],[Product id]],0))</f>
        <v>12500</v>
      </c>
      <c r="K8" s="14">
        <f>(Table11[[#This Row],[price]]*Table11[[#This Row],[Quantity]])</f>
        <v>12500</v>
      </c>
    </row>
    <row r="9" spans="1:11" x14ac:dyDescent="0.25">
      <c r="A9" s="1" t="s">
        <v>146</v>
      </c>
      <c r="B9" s="2" t="s">
        <v>120</v>
      </c>
      <c r="C9" s="2" t="s">
        <v>73</v>
      </c>
      <c r="D9" s="15">
        <v>2</v>
      </c>
      <c r="E9" s="8">
        <v>46030</v>
      </c>
      <c r="F9" s="2" t="s">
        <v>128</v>
      </c>
      <c r="G9" t="str">
        <f>INDEX(Table8[[#All],[Product name]],MATCH(Table11[[#This Row],[Product ID]],Table8[[#All],[Product id]],0))</f>
        <v>Webcam</v>
      </c>
      <c r="H9" s="2" t="str">
        <f>INDEX(Table7[[#All],[Customer Name]],MATCH(Table11[[#This Row],[Customer ID]],Table7[[#All],[Customer id]],0))</f>
        <v>Pooja Sharma</v>
      </c>
      <c r="I9" s="2" t="str">
        <f>INDEX(Table10[[#All],[Store Name]],MATCH(Table11[[#This Row],[Store ID]],Table10[[#All],[Store ID]],0))</f>
        <v>Central Store</v>
      </c>
      <c r="J9" s="14">
        <f>INDEX(Table8[[#All],[Price]],MATCH(Table11[[#This Row],[Product ID]],Table8[[#All],[Product id]],0))</f>
        <v>3500</v>
      </c>
      <c r="K9" s="14">
        <f>(Table11[[#This Row],[price]]*Table11[[#This Row],[Quantity]])</f>
        <v>7000</v>
      </c>
    </row>
    <row r="10" spans="1:11" x14ac:dyDescent="0.25">
      <c r="A10" s="1" t="s">
        <v>147</v>
      </c>
      <c r="B10" s="2" t="s">
        <v>100</v>
      </c>
      <c r="C10" s="2" t="s">
        <v>77</v>
      </c>
      <c r="D10" s="15">
        <v>4</v>
      </c>
      <c r="E10" s="8">
        <v>46031</v>
      </c>
      <c r="F10" s="2" t="s">
        <v>130</v>
      </c>
      <c r="G10" t="str">
        <f>INDEX(Table8[[#All],[Product name]],MATCH(Table11[[#This Row],[Product ID]],Table8[[#All],[Product id]],0))</f>
        <v>Keyboard</v>
      </c>
      <c r="H10" s="2" t="str">
        <f>INDEX(Table7[[#All],[Customer Name]],MATCH(Table11[[#This Row],[Customer ID]],Table7[[#All],[Customer id]],0))</f>
        <v>Karan Desai</v>
      </c>
      <c r="I10" s="2" t="str">
        <f>INDEX(Table10[[#All],[Store Name]],MATCH(Table11[[#This Row],[Store ID]],Table10[[#All],[Store ID]],0))</f>
        <v>Digital Hub</v>
      </c>
      <c r="J10" s="14">
        <f>INDEX(Table8[[#All],[Price]],MATCH(Table11[[#This Row],[Product ID]],Table8[[#All],[Product id]],0))</f>
        <v>1800</v>
      </c>
      <c r="K10" s="14">
        <f>(Table11[[#This Row],[price]]*Table11[[#This Row],[Quantity]])</f>
        <v>7200</v>
      </c>
    </row>
    <row r="11" spans="1:11" x14ac:dyDescent="0.25">
      <c r="A11" s="1" t="s">
        <v>148</v>
      </c>
      <c r="B11" s="2" t="s">
        <v>114</v>
      </c>
      <c r="C11" s="2" t="s">
        <v>80</v>
      </c>
      <c r="D11" s="15">
        <v>1</v>
      </c>
      <c r="E11" s="8">
        <v>46032</v>
      </c>
      <c r="F11" s="2" t="s">
        <v>132</v>
      </c>
      <c r="G11" t="str">
        <f>INDEX(Table8[[#All],[Product name]],MATCH(Table11[[#This Row],[Product ID]],Table8[[#All],[Product id]],0))</f>
        <v>Office Desk</v>
      </c>
      <c r="H11" s="2" t="str">
        <f>INDEX(Table7[[#All],[Customer Name]],MATCH(Table11[[#This Row],[Customer ID]],Table7[[#All],[Customer id]],0))</f>
        <v>Anjali Nair</v>
      </c>
      <c r="I11" s="2" t="str">
        <f>INDEX(Table10[[#All],[Store Name]],MATCH(Table11[[#This Row],[Store ID]],Table10[[#All],[Store ID]],0))</f>
        <v>Smart World</v>
      </c>
      <c r="J11" s="14">
        <f>INDEX(Table8[[#All],[Price]],MATCH(Table11[[#This Row],[Product ID]],Table8[[#All],[Product id]],0))</f>
        <v>12000</v>
      </c>
      <c r="K11" s="14">
        <f>(Table11[[#This Row],[price]]*Table11[[#This Row],[Quantity]])</f>
        <v>12000</v>
      </c>
    </row>
    <row r="12" spans="1:11" x14ac:dyDescent="0.25">
      <c r="A12" s="1" t="s">
        <v>149</v>
      </c>
      <c r="B12" s="2" t="s">
        <v>104</v>
      </c>
      <c r="C12" s="2" t="s">
        <v>46</v>
      </c>
      <c r="D12" s="15">
        <v>5</v>
      </c>
      <c r="E12" s="8">
        <v>46033</v>
      </c>
      <c r="F12" s="2" t="s">
        <v>124</v>
      </c>
      <c r="G12" t="str">
        <f>INDEX(Table8[[#All],[Product name]],MATCH(Table11[[#This Row],[Product ID]],Table8[[#All],[Product id]],0))</f>
        <v>Mouse</v>
      </c>
      <c r="H12" s="2" t="str">
        <f>INDEX(Table7[[#All],[Customer Name]],MATCH(Table11[[#This Row],[Customer ID]],Table7[[#All],[Customer id]],0))</f>
        <v>Amit Patel</v>
      </c>
      <c r="I12" s="2" t="str">
        <f>INDEX(Table10[[#All],[Store Name]],MATCH(Table11[[#This Row],[Store ID]],Table10[[#All],[Store ID]],0))</f>
        <v>Alpha Store</v>
      </c>
      <c r="J12" s="14">
        <f>INDEX(Table8[[#All],[Price]],MATCH(Table11[[#This Row],[Product ID]],Table8[[#All],[Product id]],0))</f>
        <v>900</v>
      </c>
      <c r="K12" s="14">
        <f>(Table11[[#This Row],[price]]*Table11[[#This Row],[Quantity]])</f>
        <v>4500</v>
      </c>
    </row>
    <row r="13" spans="1:11" x14ac:dyDescent="0.25">
      <c r="A13" s="1" t="s">
        <v>150</v>
      </c>
      <c r="B13" s="2" t="s">
        <v>97</v>
      </c>
      <c r="C13" s="2" t="s">
        <v>51</v>
      </c>
      <c r="D13" s="15">
        <v>3</v>
      </c>
      <c r="E13" s="8">
        <v>46034</v>
      </c>
      <c r="F13" s="2" t="s">
        <v>126</v>
      </c>
      <c r="G13" t="str">
        <f>INDEX(Table8[[#All],[Product name]],MATCH(Table11[[#This Row],[Product ID]],Table8[[#All],[Product id]],0))</f>
        <v>Headphones</v>
      </c>
      <c r="H13" s="2" t="str">
        <f>INDEX(Table7[[#All],[Customer Name]],MATCH(Table11[[#This Row],[Customer ID]],Table7[[#All],[Customer id]],0))</f>
        <v>Priya Shah</v>
      </c>
      <c r="I13" s="2" t="str">
        <f>INDEX(Table10[[#All],[Store Name]],MATCH(Table11[[#This Row],[Store ID]],Table10[[#All],[Store ID]],0))</f>
        <v>Beta Store</v>
      </c>
      <c r="J13" s="14">
        <f>INDEX(Table8[[#All],[Price]],MATCH(Table11[[#This Row],[Product ID]],Table8[[#All],[Product id]],0))</f>
        <v>4500</v>
      </c>
      <c r="K13" s="14">
        <f>(Table11[[#This Row],[price]]*Table11[[#This Row],[Quantity]])</f>
        <v>13500</v>
      </c>
    </row>
    <row r="14" spans="1:11" x14ac:dyDescent="0.25">
      <c r="A14" s="1" t="s">
        <v>151</v>
      </c>
      <c r="B14" s="2" t="s">
        <v>90</v>
      </c>
      <c r="C14" s="2" t="s">
        <v>55</v>
      </c>
      <c r="D14" s="15">
        <v>1</v>
      </c>
      <c r="E14" s="8">
        <v>46035</v>
      </c>
      <c r="F14" s="2" t="s">
        <v>128</v>
      </c>
      <c r="G14" t="str">
        <f>INDEX(Table8[[#All],[Product name]],MATCH(Table11[[#This Row],[Product ID]],Table8[[#All],[Product id]],0))</f>
        <v>Laptop</v>
      </c>
      <c r="H14" s="2" t="str">
        <f>INDEX(Table7[[#All],[Customer Name]],MATCH(Table11[[#This Row],[Customer ID]],Table7[[#All],[Customer id]],0))</f>
        <v>Rahul Mehta</v>
      </c>
      <c r="I14" s="2" t="str">
        <f>INDEX(Table10[[#All],[Store Name]],MATCH(Table11[[#This Row],[Store ID]],Table10[[#All],[Store ID]],0))</f>
        <v>Central Store</v>
      </c>
      <c r="J14" s="14">
        <f>INDEX(Table8[[#All],[Price]],MATCH(Table11[[#This Row],[Product ID]],Table8[[#All],[Product id]],0))</f>
        <v>55000</v>
      </c>
      <c r="K14" s="14">
        <f>(Table11[[#This Row],[price]]*Table11[[#This Row],[Quantity]])</f>
        <v>55000</v>
      </c>
    </row>
    <row r="15" spans="1:11" x14ac:dyDescent="0.25">
      <c r="A15" s="1" t="s">
        <v>152</v>
      </c>
      <c r="B15" s="2" t="s">
        <v>117</v>
      </c>
      <c r="C15" s="2" t="s">
        <v>59</v>
      </c>
      <c r="D15" s="15">
        <v>2</v>
      </c>
      <c r="E15" s="8">
        <v>46036</v>
      </c>
      <c r="F15" s="2" t="s">
        <v>130</v>
      </c>
      <c r="G15" t="str">
        <f>INDEX(Table8[[#All],[Product name]],MATCH(Table11[[#This Row],[Product ID]],Table8[[#All],[Product id]],0))</f>
        <v>Monitor</v>
      </c>
      <c r="H15" s="2" t="str">
        <f>INDEX(Table7[[#All],[Customer Name]],MATCH(Table11[[#This Row],[Customer ID]],Table7[[#All],[Customer id]],0))</f>
        <v>Sneha Joshi</v>
      </c>
      <c r="I15" s="2" t="str">
        <f>INDEX(Table10[[#All],[Store Name]],MATCH(Table11[[#This Row],[Store ID]],Table10[[#All],[Store ID]],0))</f>
        <v>Digital Hub</v>
      </c>
      <c r="J15" s="14">
        <f>INDEX(Table8[[#All],[Price]],MATCH(Table11[[#This Row],[Product ID]],Table8[[#All],[Product id]],0))</f>
        <v>16000</v>
      </c>
      <c r="K15" s="14">
        <f>(Table11[[#This Row],[price]]*Table11[[#This Row],[Quantity]])</f>
        <v>32000</v>
      </c>
    </row>
    <row r="16" spans="1:11" x14ac:dyDescent="0.25">
      <c r="A16" s="1" t="s">
        <v>153</v>
      </c>
      <c r="B16" s="2" t="s">
        <v>94</v>
      </c>
      <c r="C16" s="2" t="s">
        <v>62</v>
      </c>
      <c r="D16" s="15">
        <v>1</v>
      </c>
      <c r="E16" s="8">
        <v>46037</v>
      </c>
      <c r="F16" s="2" t="s">
        <v>132</v>
      </c>
      <c r="G16" t="str">
        <f>INDEX(Table8[[#All],[Product name]],MATCH(Table11[[#This Row],[Product ID]],Table8[[#All],[Product id]],0))</f>
        <v>Smartphone</v>
      </c>
      <c r="H16" s="2" t="str">
        <f>INDEX(Table7[[#All],[Customer Name]],MATCH(Table11[[#This Row],[Customer ID]],Table7[[#All],[Customer id]],0))</f>
        <v>Arjun Singh</v>
      </c>
      <c r="I16" s="2" t="str">
        <f>INDEX(Table10[[#All],[Store Name]],MATCH(Table11[[#This Row],[Store ID]],Table10[[#All],[Store ID]],0))</f>
        <v>Smart World</v>
      </c>
      <c r="J16" s="14">
        <f>INDEX(Table8[[#All],[Price]],MATCH(Table11[[#This Row],[Product ID]],Table8[[#All],[Product id]],0))</f>
        <v>32000</v>
      </c>
      <c r="K16" s="14">
        <f>(Table11[[#This Row],[price]]*Table11[[#This Row],[Quantity]])</f>
        <v>32000</v>
      </c>
    </row>
    <row r="17" spans="1:9" x14ac:dyDescent="0.25">
      <c r="I17" s="2"/>
    </row>
    <row r="19" spans="1:9" x14ac:dyDescent="0.25">
      <c r="A19" t="s">
        <v>167</v>
      </c>
      <c r="H19" t="s">
        <v>170</v>
      </c>
    </row>
    <row r="20" spans="1:9" x14ac:dyDescent="0.25">
      <c r="H20" t="s">
        <v>22</v>
      </c>
    </row>
    <row r="21" spans="1:9" x14ac:dyDescent="0.25">
      <c r="A21" s="3" t="s">
        <v>135</v>
      </c>
      <c r="D21" s="17" t="s">
        <v>154</v>
      </c>
      <c r="E21" s="3" t="s">
        <v>168</v>
      </c>
      <c r="H21" t="s">
        <v>173</v>
      </c>
    </row>
    <row r="22" spans="1:9" x14ac:dyDescent="0.25">
      <c r="A22" s="6" t="s">
        <v>89</v>
      </c>
      <c r="D22" s="18" t="s">
        <v>90</v>
      </c>
      <c r="E22" s="6" t="s">
        <v>91</v>
      </c>
    </row>
    <row r="23" spans="1:9" x14ac:dyDescent="0.25">
      <c r="A23" s="7" t="s">
        <v>90</v>
      </c>
      <c r="B23" t="str">
        <f>INDEX(E21:E31,MATCH(A23,D21:D31,0))</f>
        <v>Laptop</v>
      </c>
      <c r="D23" s="19" t="s">
        <v>94</v>
      </c>
      <c r="E23" s="7" t="s">
        <v>95</v>
      </c>
    </row>
    <row r="24" spans="1:9" x14ac:dyDescent="0.25">
      <c r="A24" s="6" t="s">
        <v>104</v>
      </c>
      <c r="B24" t="str">
        <f t="shared" ref="B24:B37" si="0">INDEX(E22:E32,MATCH(A24,D22:D32,0))</f>
        <v>Mouse</v>
      </c>
      <c r="D24" s="18" t="s">
        <v>97</v>
      </c>
      <c r="E24" s="6" t="s">
        <v>98</v>
      </c>
    </row>
    <row r="25" spans="1:9" x14ac:dyDescent="0.25">
      <c r="A25" s="7" t="s">
        <v>97</v>
      </c>
      <c r="B25" t="str">
        <f t="shared" si="0"/>
        <v>Headphones</v>
      </c>
      <c r="D25" s="19" t="s">
        <v>100</v>
      </c>
      <c r="E25" s="7" t="s">
        <v>101</v>
      </c>
    </row>
    <row r="26" spans="1:9" x14ac:dyDescent="0.25">
      <c r="A26" s="6" t="s">
        <v>117</v>
      </c>
      <c r="B26" t="str">
        <f t="shared" si="0"/>
        <v>Monitor</v>
      </c>
      <c r="D26" s="18" t="s">
        <v>104</v>
      </c>
      <c r="E26" s="6" t="s">
        <v>105</v>
      </c>
    </row>
    <row r="27" spans="1:9" x14ac:dyDescent="0.25">
      <c r="A27" s="7" t="s">
        <v>94</v>
      </c>
      <c r="B27" t="e">
        <f t="shared" si="0"/>
        <v>#N/A</v>
      </c>
      <c r="D27" s="19" t="s">
        <v>107</v>
      </c>
      <c r="E27" s="7" t="s">
        <v>108</v>
      </c>
    </row>
    <row r="28" spans="1:9" x14ac:dyDescent="0.25">
      <c r="A28" s="6" t="s">
        <v>110</v>
      </c>
      <c r="B28" t="str">
        <f t="shared" si="0"/>
        <v>Office Chair</v>
      </c>
      <c r="D28" s="18" t="s">
        <v>110</v>
      </c>
      <c r="E28" s="6" t="s">
        <v>111</v>
      </c>
    </row>
    <row r="29" spans="1:9" x14ac:dyDescent="0.25">
      <c r="A29" s="7" t="s">
        <v>107</v>
      </c>
      <c r="B29" t="str">
        <f t="shared" si="0"/>
        <v>Printer</v>
      </c>
      <c r="D29" s="19" t="s">
        <v>114</v>
      </c>
      <c r="E29" s="7" t="s">
        <v>115</v>
      </c>
    </row>
    <row r="30" spans="1:9" x14ac:dyDescent="0.25">
      <c r="A30" s="6" t="s">
        <v>120</v>
      </c>
      <c r="B30" t="str">
        <f t="shared" si="0"/>
        <v>Webcam</v>
      </c>
      <c r="D30" s="18" t="s">
        <v>117</v>
      </c>
      <c r="E30" s="6" t="s">
        <v>118</v>
      </c>
    </row>
    <row r="31" spans="1:9" x14ac:dyDescent="0.25">
      <c r="A31" s="7" t="s">
        <v>100</v>
      </c>
      <c r="B31" t="e">
        <f t="shared" si="0"/>
        <v>#N/A</v>
      </c>
      <c r="D31" s="19" t="s">
        <v>120</v>
      </c>
      <c r="E31" s="7" t="s">
        <v>121</v>
      </c>
    </row>
    <row r="32" spans="1:9" x14ac:dyDescent="0.25">
      <c r="A32" s="6" t="s">
        <v>114</v>
      </c>
      <c r="B32" t="e">
        <f t="shared" si="0"/>
        <v>#N/A</v>
      </c>
    </row>
    <row r="33" spans="1:2" x14ac:dyDescent="0.25">
      <c r="A33" s="7" t="s">
        <v>104</v>
      </c>
      <c r="B33" t="e">
        <f t="shared" si="0"/>
        <v>#N/A</v>
      </c>
    </row>
    <row r="34" spans="1:2" x14ac:dyDescent="0.25">
      <c r="A34" s="6" t="s">
        <v>97</v>
      </c>
      <c r="B34" t="e">
        <f t="shared" si="0"/>
        <v>#N/A</v>
      </c>
    </row>
    <row r="35" spans="1:2" x14ac:dyDescent="0.25">
      <c r="A35" s="7" t="s">
        <v>90</v>
      </c>
      <c r="B35" t="e">
        <f t="shared" si="0"/>
        <v>#N/A</v>
      </c>
    </row>
    <row r="36" spans="1:2" x14ac:dyDescent="0.25">
      <c r="A36" s="6" t="s">
        <v>117</v>
      </c>
      <c r="B36" t="e">
        <f t="shared" si="0"/>
        <v>#N/A</v>
      </c>
    </row>
    <row r="37" spans="1:2" x14ac:dyDescent="0.25">
      <c r="A37" s="7" t="s">
        <v>94</v>
      </c>
      <c r="B37" t="e">
        <f t="shared" si="0"/>
        <v>#N/A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502A6-CE38-44A0-AEE3-07504115D2C1}">
  <dimension ref="A1:A82"/>
  <sheetViews>
    <sheetView showGridLines="0" topLeftCell="A67" workbookViewId="0">
      <selection activeCell="A77" sqref="A77"/>
    </sheetView>
  </sheetViews>
  <sheetFormatPr defaultRowHeight="15" x14ac:dyDescent="0.25"/>
  <cols>
    <col min="1" max="16384" width="9.140625" style="2"/>
  </cols>
  <sheetData>
    <row r="1" spans="1:1" x14ac:dyDescent="0.25">
      <c r="A1" s="4" t="s">
        <v>0</v>
      </c>
    </row>
    <row r="2" spans="1:1" x14ac:dyDescent="0.25">
      <c r="A2" s="5"/>
    </row>
    <row r="3" spans="1:1" x14ac:dyDescent="0.25">
      <c r="A3" s="4" t="s">
        <v>1</v>
      </c>
    </row>
    <row r="4" spans="1:1" x14ac:dyDescent="0.25">
      <c r="A4" s="5"/>
    </row>
    <row r="5" spans="1:1" x14ac:dyDescent="0.25">
      <c r="A5" s="4" t="s">
        <v>2</v>
      </c>
    </row>
    <row r="6" spans="1:1" x14ac:dyDescent="0.25">
      <c r="A6" s="5"/>
    </row>
    <row r="7" spans="1:1" x14ac:dyDescent="0.25">
      <c r="A7" s="1" t="s">
        <v>29</v>
      </c>
    </row>
    <row r="8" spans="1:1" x14ac:dyDescent="0.25">
      <c r="A8" s="5"/>
    </row>
    <row r="9" spans="1:1" x14ac:dyDescent="0.25">
      <c r="A9" s="4" t="s">
        <v>3</v>
      </c>
    </row>
    <row r="10" spans="1:1" x14ac:dyDescent="0.25">
      <c r="A10" s="5"/>
    </row>
    <row r="11" spans="1:1" x14ac:dyDescent="0.25">
      <c r="A11" s="1" t="s">
        <v>30</v>
      </c>
    </row>
    <row r="12" spans="1:1" x14ac:dyDescent="0.25">
      <c r="A12" s="5"/>
    </row>
    <row r="13" spans="1:1" x14ac:dyDescent="0.25">
      <c r="A13" s="4" t="s">
        <v>4</v>
      </c>
    </row>
    <row r="14" spans="1:1" x14ac:dyDescent="0.25">
      <c r="A14" s="5"/>
    </row>
    <row r="15" spans="1:1" x14ac:dyDescent="0.25">
      <c r="A15" s="1" t="s">
        <v>31</v>
      </c>
    </row>
    <row r="16" spans="1:1" x14ac:dyDescent="0.25">
      <c r="A16" s="5"/>
    </row>
    <row r="17" spans="1:1" x14ac:dyDescent="0.25">
      <c r="A17" s="4" t="s">
        <v>5</v>
      </c>
    </row>
    <row r="18" spans="1:1" x14ac:dyDescent="0.25">
      <c r="A18" s="5"/>
    </row>
    <row r="19" spans="1:1" x14ac:dyDescent="0.25">
      <c r="A19" s="1" t="s">
        <v>32</v>
      </c>
    </row>
    <row r="20" spans="1:1" x14ac:dyDescent="0.25">
      <c r="A20" s="5"/>
    </row>
    <row r="21" spans="1:1" x14ac:dyDescent="0.25">
      <c r="A21" s="4" t="s">
        <v>6</v>
      </c>
    </row>
    <row r="22" spans="1:1" x14ac:dyDescent="0.25">
      <c r="A22" s="5"/>
    </row>
    <row r="23" spans="1:1" x14ac:dyDescent="0.25">
      <c r="A23" s="1" t="s">
        <v>33</v>
      </c>
    </row>
    <row r="24" spans="1:1" x14ac:dyDescent="0.25">
      <c r="A24" s="5"/>
    </row>
    <row r="25" spans="1:1" x14ac:dyDescent="0.25">
      <c r="A25" s="4" t="s">
        <v>7</v>
      </c>
    </row>
    <row r="26" spans="1:1" x14ac:dyDescent="0.25">
      <c r="A26" s="5"/>
    </row>
    <row r="27" spans="1:1" x14ac:dyDescent="0.25">
      <c r="A27" s="4" t="s">
        <v>8</v>
      </c>
    </row>
    <row r="28" spans="1:1" x14ac:dyDescent="0.25">
      <c r="A28" s="5"/>
    </row>
    <row r="29" spans="1:1" x14ac:dyDescent="0.25">
      <c r="A29" s="1" t="s">
        <v>34</v>
      </c>
    </row>
    <row r="30" spans="1:1" x14ac:dyDescent="0.25">
      <c r="A30" s="5"/>
    </row>
    <row r="31" spans="1:1" x14ac:dyDescent="0.25">
      <c r="A31" s="4" t="s">
        <v>9</v>
      </c>
    </row>
    <row r="32" spans="1:1" x14ac:dyDescent="0.25">
      <c r="A32" s="5"/>
    </row>
    <row r="33" spans="1:1" x14ac:dyDescent="0.25">
      <c r="A33" s="1" t="s">
        <v>35</v>
      </c>
    </row>
    <row r="34" spans="1:1" x14ac:dyDescent="0.25">
      <c r="A34" s="5"/>
    </row>
    <row r="35" spans="1:1" x14ac:dyDescent="0.25">
      <c r="A35" s="4" t="s">
        <v>10</v>
      </c>
    </row>
    <row r="36" spans="1:1" x14ac:dyDescent="0.25">
      <c r="A36" s="5"/>
    </row>
    <row r="37" spans="1:1" x14ac:dyDescent="0.25">
      <c r="A37" s="1" t="s">
        <v>36</v>
      </c>
    </row>
    <row r="38" spans="1:1" x14ac:dyDescent="0.25">
      <c r="A38" s="5"/>
    </row>
    <row r="39" spans="1:1" x14ac:dyDescent="0.25">
      <c r="A39" s="4" t="s">
        <v>11</v>
      </c>
    </row>
    <row r="40" spans="1:1" x14ac:dyDescent="0.25">
      <c r="A40" s="5"/>
    </row>
    <row r="41" spans="1:1" x14ac:dyDescent="0.25">
      <c r="A41" s="1" t="s">
        <v>37</v>
      </c>
    </row>
    <row r="42" spans="1:1" x14ac:dyDescent="0.25">
      <c r="A42" s="5"/>
    </row>
    <row r="43" spans="1:1" x14ac:dyDescent="0.25">
      <c r="A43" s="4" t="s">
        <v>12</v>
      </c>
    </row>
    <row r="44" spans="1:1" x14ac:dyDescent="0.25">
      <c r="A44" s="5"/>
    </row>
    <row r="45" spans="1:1" x14ac:dyDescent="0.25">
      <c r="A45" s="4" t="s">
        <v>13</v>
      </c>
    </row>
    <row r="46" spans="1:1" x14ac:dyDescent="0.25">
      <c r="A46" s="5"/>
    </row>
    <row r="47" spans="1:1" x14ac:dyDescent="0.25">
      <c r="A47" s="1" t="s">
        <v>38</v>
      </c>
    </row>
    <row r="48" spans="1:1" x14ac:dyDescent="0.25">
      <c r="A48" s="5"/>
    </row>
    <row r="49" spans="1:1" x14ac:dyDescent="0.25">
      <c r="A49" s="4" t="s">
        <v>14</v>
      </c>
    </row>
    <row r="50" spans="1:1" x14ac:dyDescent="0.25">
      <c r="A50" s="5"/>
    </row>
    <row r="51" spans="1:1" x14ac:dyDescent="0.25">
      <c r="A51" s="1" t="s">
        <v>39</v>
      </c>
    </row>
    <row r="52" spans="1:1" x14ac:dyDescent="0.25">
      <c r="A52" s="5"/>
    </row>
    <row r="53" spans="1:1" x14ac:dyDescent="0.25">
      <c r="A53" s="4" t="s">
        <v>15</v>
      </c>
    </row>
    <row r="54" spans="1:1" x14ac:dyDescent="0.25">
      <c r="A54" s="5"/>
    </row>
    <row r="55" spans="1:1" x14ac:dyDescent="0.25">
      <c r="A55" s="1" t="s">
        <v>40</v>
      </c>
    </row>
    <row r="56" spans="1:1" x14ac:dyDescent="0.25">
      <c r="A56" s="5"/>
    </row>
    <row r="57" spans="1:1" x14ac:dyDescent="0.25">
      <c r="A57" s="4" t="s">
        <v>16</v>
      </c>
    </row>
    <row r="58" spans="1:1" x14ac:dyDescent="0.25">
      <c r="A58" s="5"/>
    </row>
    <row r="59" spans="1:1" x14ac:dyDescent="0.25">
      <c r="A59" s="4" t="s">
        <v>17</v>
      </c>
    </row>
    <row r="60" spans="1:1" x14ac:dyDescent="0.25">
      <c r="A60" s="5"/>
    </row>
    <row r="61" spans="1:1" x14ac:dyDescent="0.25">
      <c r="A61" s="1" t="s">
        <v>18</v>
      </c>
    </row>
    <row r="62" spans="1:1" x14ac:dyDescent="0.25">
      <c r="A62" s="5"/>
    </row>
    <row r="63" spans="1:1" x14ac:dyDescent="0.25">
      <c r="A63" s="4" t="s">
        <v>19</v>
      </c>
    </row>
    <row r="64" spans="1:1" x14ac:dyDescent="0.25">
      <c r="A64" s="5"/>
    </row>
    <row r="65" spans="1:1" x14ac:dyDescent="0.25">
      <c r="A65" s="1" t="s">
        <v>20</v>
      </c>
    </row>
    <row r="66" spans="1:1" x14ac:dyDescent="0.25">
      <c r="A66" s="5"/>
    </row>
    <row r="67" spans="1:1" x14ac:dyDescent="0.25">
      <c r="A67" s="4" t="s">
        <v>21</v>
      </c>
    </row>
    <row r="68" spans="1:1" x14ac:dyDescent="0.25">
      <c r="A68" s="5"/>
    </row>
    <row r="69" spans="1:1" x14ac:dyDescent="0.25">
      <c r="A69" s="1" t="s">
        <v>22</v>
      </c>
    </row>
    <row r="70" spans="1:1" x14ac:dyDescent="0.25">
      <c r="A70" s="5"/>
    </row>
    <row r="71" spans="1:1" x14ac:dyDescent="0.25">
      <c r="A71" s="4" t="s">
        <v>23</v>
      </c>
    </row>
    <row r="72" spans="1:1" x14ac:dyDescent="0.25">
      <c r="A72" s="5"/>
    </row>
    <row r="73" spans="1:1" x14ac:dyDescent="0.25">
      <c r="A73" s="1" t="s">
        <v>24</v>
      </c>
    </row>
    <row r="74" spans="1:1" x14ac:dyDescent="0.25">
      <c r="A74" s="5"/>
    </row>
    <row r="75" spans="1:1" x14ac:dyDescent="0.25">
      <c r="A75" s="4" t="s">
        <v>25</v>
      </c>
    </row>
    <row r="76" spans="1:1" x14ac:dyDescent="0.25">
      <c r="A76" s="5"/>
    </row>
    <row r="77" spans="1:1" x14ac:dyDescent="0.25">
      <c r="A77" s="1" t="s">
        <v>41</v>
      </c>
    </row>
    <row r="78" spans="1:1" x14ac:dyDescent="0.25">
      <c r="A78" s="5"/>
    </row>
    <row r="79" spans="1:1" x14ac:dyDescent="0.25">
      <c r="A79" s="4" t="s">
        <v>26</v>
      </c>
    </row>
    <row r="80" spans="1:1" x14ac:dyDescent="0.25">
      <c r="A80" s="5"/>
    </row>
    <row r="81" spans="1:1" x14ac:dyDescent="0.25">
      <c r="A81" s="1" t="s">
        <v>27</v>
      </c>
    </row>
    <row r="82" spans="1:1" x14ac:dyDescent="0.25">
      <c r="A82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</vt:lpstr>
      <vt:lpstr>product</vt:lpstr>
      <vt:lpstr>store</vt:lpstr>
      <vt:lpstr>sales</vt:lpstr>
      <vt:lpstr>task 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saksham2556@outlook.com</dc:creator>
  <cp:lastModifiedBy>saksham2556@outlook.com</cp:lastModifiedBy>
  <dcterms:created xsi:type="dcterms:W3CDTF">2026-07-28T08:21:59Z</dcterms:created>
  <dcterms:modified xsi:type="dcterms:W3CDTF">2026-07-28T09:41:19Z</dcterms:modified>
</cp:coreProperties>
</file>