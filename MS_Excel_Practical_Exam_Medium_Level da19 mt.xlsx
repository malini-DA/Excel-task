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SDC27\Desktop\"/>
    </mc:Choice>
  </mc:AlternateContent>
  <xr:revisionPtr revIDLastSave="0" documentId="8_{1A3D38D3-3358-4594-89BD-4A9BF0B816F0}" xr6:coauthVersionLast="47" xr6:coauthVersionMax="47" xr10:uidLastSave="{00000000-0000-0000-0000-000000000000}"/>
  <bookViews>
    <workbookView xWindow="-120" yWindow="-120" windowWidth="20730" windowHeight="11040" firstSheet="2" activeTab="5" xr2:uid="{00000000-000D-0000-FFFF-FFFF00000000}"/>
  </bookViews>
  <sheets>
    <sheet name="Instructions" sheetId="1" r:id="rId1"/>
    <sheet name="Sales_Data" sheetId="2" r:id="rId2"/>
    <sheet name="Product_Master" sheetId="3" r:id="rId3"/>
    <sheet name="Student_Marks" sheetId="4" r:id="rId4"/>
    <sheet name="Questions" sheetId="5" r:id="rId5"/>
    <sheet name="Sheet1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5" i="6" l="1"/>
  <c r="N6" i="6"/>
  <c r="N7" i="6"/>
  <c r="N8" i="6"/>
  <c r="N9" i="6"/>
  <c r="N4" i="6"/>
  <c r="M4" i="6" a="1"/>
  <c r="M4" i="6" s="1"/>
  <c r="I21" i="6"/>
  <c r="I20" i="6"/>
  <c r="I15" i="6"/>
  <c r="I16" i="6"/>
  <c r="I17" i="6"/>
  <c r="I14" i="6"/>
  <c r="L4" i="6"/>
  <c r="J5" i="6"/>
  <c r="J6" i="6"/>
  <c r="J7" i="6"/>
  <c r="J8" i="6"/>
  <c r="J9" i="6"/>
  <c r="J4" i="6"/>
  <c r="I5" i="6"/>
  <c r="I6" i="6"/>
  <c r="I7" i="6"/>
  <c r="I8" i="6"/>
  <c r="I9" i="6"/>
  <c r="I4" i="6"/>
  <c r="K4" i="6"/>
  <c r="K5" i="6"/>
  <c r="K7" i="6"/>
  <c r="H5" i="6"/>
  <c r="H6" i="6"/>
  <c r="H7" i="6"/>
  <c r="H8" i="6"/>
  <c r="H9" i="6"/>
  <c r="H4" i="6"/>
  <c r="J32" i="5"/>
  <c r="K6" i="6" l="1"/>
  <c r="K9" i="6"/>
  <c r="K8" i="6"/>
  <c r="K10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<sst xmlns="http://schemas.openxmlformats.org/spreadsheetml/2006/main" count="144" uniqueCount="88">
  <si>
    <t>Total Questions: 30</t>
  </si>
  <si>
    <t>Difficulty Level: Medium</t>
  </si>
  <si>
    <t>Syllabus: Formulas, Logical Functions, Lookups, INDEX-MATCH, Pivot Tables &amp; Charts, Data Analysis</t>
  </si>
  <si>
    <t>Attempt all questions using appropriate Excel tools/functions.</t>
  </si>
  <si>
    <t>Order_ID</t>
  </si>
  <si>
    <t>Region</t>
  </si>
  <si>
    <t>Salesperson</t>
  </si>
  <si>
    <t>Product</t>
  </si>
  <si>
    <t>Quantity</t>
  </si>
  <si>
    <t>Unit_Price</t>
  </si>
  <si>
    <t>Sales_Date</t>
  </si>
  <si>
    <t>North</t>
  </si>
  <si>
    <t>Amit</t>
  </si>
  <si>
    <t>Laptop</t>
  </si>
  <si>
    <t>05-01-2025</t>
  </si>
  <si>
    <t>South</t>
  </si>
  <si>
    <t>Riya</t>
  </si>
  <si>
    <t>Mobile</t>
  </si>
  <si>
    <t>07-01-2025</t>
  </si>
  <si>
    <t>East</t>
  </si>
  <si>
    <t>Kunal</t>
  </si>
  <si>
    <t>Tablet</t>
  </si>
  <si>
    <t>10-01-2025</t>
  </si>
  <si>
    <t>West</t>
  </si>
  <si>
    <t>Neha</t>
  </si>
  <si>
    <t>12-01-2025</t>
  </si>
  <si>
    <t>15-01-2025</t>
  </si>
  <si>
    <t>18-01-2025</t>
  </si>
  <si>
    <t>Category</t>
  </si>
  <si>
    <t>GST_%</t>
  </si>
  <si>
    <t>Electronics</t>
  </si>
  <si>
    <t>Student_ID</t>
  </si>
  <si>
    <t>Name</t>
  </si>
  <si>
    <t>Maths</t>
  </si>
  <si>
    <t>Statistics</t>
  </si>
  <si>
    <t>Excel</t>
  </si>
  <si>
    <t>Attendance_%</t>
  </si>
  <si>
    <t>Rahul</t>
  </si>
  <si>
    <t>Sneha</t>
  </si>
  <si>
    <t>Arjun</t>
  </si>
  <si>
    <t>Pooja</t>
  </si>
  <si>
    <t>Vikas</t>
  </si>
  <si>
    <t>1. Calculate Total Sales for each order (Quantity × Unit_Price).</t>
  </si>
  <si>
    <t>2. Calculate GST Amount using VLOOKUP from Product_Master.</t>
  </si>
  <si>
    <t>3. Find Final Amount payable (Total Sales + GST).</t>
  </si>
  <si>
    <t>4. Find Grand Total of Final Amount.</t>
  </si>
  <si>
    <t>5. Count total number of orders using COUNTA.</t>
  </si>
  <si>
    <t>6. Find Region-wise total sales using SUMIF.</t>
  </si>
  <si>
    <t>7. Use IF to classify Quantity as High (&gt;3) or Low (&lt;=3).</t>
  </si>
  <si>
    <t>8. Find the maximum and minimum Final Amount.</t>
  </si>
  <si>
    <t>9. Extract month name from Sales_Date.</t>
  </si>
  <si>
    <t>10. Sort Sales_Data by Final Amount (Descending).</t>
  </si>
  <si>
    <t>11. Use INDEX-MATCH to fetch Product Category.</t>
  </si>
  <si>
    <t>12. Calculate average marks of each student.</t>
  </si>
  <si>
    <t>13. Find the topper based on average marks.</t>
  </si>
  <si>
    <t>14. Count students with Attendance above 90%.</t>
  </si>
  <si>
    <t>15. Use IF to classify students as Eligible (Attendance &gt;= 85%).</t>
  </si>
  <si>
    <t>16. Create a Pivot Table showing Product-wise Total Sales.</t>
  </si>
  <si>
    <t>17. Create a Pivot Table showing Region-wise Total Sales.</t>
  </si>
  <si>
    <t>18. Insert a Pivot Chart for Product-wise Sales.</t>
  </si>
  <si>
    <t>19. Create a Bar Chart for Student Excel marks.</t>
  </si>
  <si>
    <t>20. Find Median of Statistics marks.</t>
  </si>
  <si>
    <t>21. Find Standard Deviation of Excel marks.</t>
  </si>
  <si>
    <t>22. Use CONCAT to combine Student_ID and Name.</t>
  </si>
  <si>
    <t>23. Use LEFT function to extract first 2 letters of Salesperson name.</t>
  </si>
  <si>
    <t>24. Apply Conditional Formatting to highlight Final Amount &gt; 60000.</t>
  </si>
  <si>
    <t>25. Filter orders where Product is Laptop and Quantity &gt; 1.</t>
  </si>
  <si>
    <t>26. Use COUNTIFS to count Laptop orders in North region.</t>
  </si>
  <si>
    <t>27. Use ROUND to round Unit_Price to nearest thousand.</t>
  </si>
  <si>
    <t>28. Remove duplicate records if present.</t>
  </si>
  <si>
    <t>29. Freeze top row in Sales_Data sheet.</t>
  </si>
  <si>
    <t>30. Protect the Student_Marks sheet.</t>
  </si>
  <si>
    <t>MS Excel Practical Exam</t>
  </si>
  <si>
    <t>total sales</t>
  </si>
  <si>
    <t>gst %</t>
  </si>
  <si>
    <t>gst amt</t>
  </si>
  <si>
    <t>Grand total</t>
  </si>
  <si>
    <t>total order</t>
  </si>
  <si>
    <t>Find Region-wise total sales using SUMIF.</t>
  </si>
  <si>
    <t>EAST</t>
  </si>
  <si>
    <t>WEST</t>
  </si>
  <si>
    <t>NORTH</t>
  </si>
  <si>
    <t>SOUTH</t>
  </si>
  <si>
    <t>MAX AMT</t>
  </si>
  <si>
    <t>FINAL amt</t>
  </si>
  <si>
    <t>MIN AMT</t>
  </si>
  <si>
    <t>CLASSIFICATION</t>
  </si>
  <si>
    <t>MONTH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</si>
</sst>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2" fontId="0" fillId="0" borderId="0" xfId="0" applyNumberFormat="1"/>
    <xf numFmtId="0" fontId="0" fillId="2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5"/>
  <sheetViews>
    <sheetView workbookViewId="0">
      <selection activeCell="I13" sqref="I13"/>
    </sheetView>
  </sheetViews>
  <sheetFormatPr defaultRowHeight="15" x14ac:dyDescent="0.25"/>
  <sheetData>
    <row r="1" spans="1:1" x14ac:dyDescent="0.25">
      <c r="A1" t="s">
        <v>72</v>
      </c>
    </row>
    <row r="2" spans="1:1" x14ac:dyDescent="0.25">
      <c r="A2" t="s">
        <v>0</v>
      </c>
    </row>
    <row r="3" spans="1:1" x14ac:dyDescent="0.25">
      <c r="A3" t="s">
        <v>1</v>
      </c>
    </row>
    <row r="4" spans="1:1" x14ac:dyDescent="0.25">
      <c r="A4" t="s">
        <v>2</v>
      </c>
    </row>
    <row r="5" spans="1:1" x14ac:dyDescent="0.25">
      <c r="A5" t="s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"/>
  <sheetViews>
    <sheetView workbookViewId="0">
      <selection sqref="A1:G7"/>
    </sheetView>
  </sheetViews>
  <sheetFormatPr defaultRowHeight="15" x14ac:dyDescent="0.25"/>
  <sheetData>
    <row r="1" spans="1:7" x14ac:dyDescent="0.25">
      <c r="A1" t="s">
        <v>4</v>
      </c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</row>
    <row r="2" spans="1:7" x14ac:dyDescent="0.25">
      <c r="A2">
        <v>301</v>
      </c>
      <c r="B2" t="s">
        <v>11</v>
      </c>
      <c r="C2" t="s">
        <v>12</v>
      </c>
      <c r="D2" t="s">
        <v>13</v>
      </c>
      <c r="E2">
        <v>2</v>
      </c>
      <c r="F2">
        <v>45000</v>
      </c>
      <c r="G2" t="s">
        <v>14</v>
      </c>
    </row>
    <row r="3" spans="1:7" x14ac:dyDescent="0.25">
      <c r="A3">
        <v>302</v>
      </c>
      <c r="B3" t="s">
        <v>15</v>
      </c>
      <c r="C3" t="s">
        <v>16</v>
      </c>
      <c r="D3" t="s">
        <v>17</v>
      </c>
      <c r="E3">
        <v>5</v>
      </c>
      <c r="F3">
        <v>15000</v>
      </c>
      <c r="G3" t="s">
        <v>18</v>
      </c>
    </row>
    <row r="4" spans="1:7" x14ac:dyDescent="0.25">
      <c r="A4">
        <v>303</v>
      </c>
      <c r="B4" t="s">
        <v>19</v>
      </c>
      <c r="C4" t="s">
        <v>20</v>
      </c>
      <c r="D4" t="s">
        <v>21</v>
      </c>
      <c r="E4">
        <v>3</v>
      </c>
      <c r="F4">
        <v>18000</v>
      </c>
      <c r="G4" t="s">
        <v>22</v>
      </c>
    </row>
    <row r="5" spans="1:7" x14ac:dyDescent="0.25">
      <c r="A5">
        <v>304</v>
      </c>
      <c r="B5" t="s">
        <v>23</v>
      </c>
      <c r="C5" t="s">
        <v>24</v>
      </c>
      <c r="D5" t="s">
        <v>13</v>
      </c>
      <c r="E5">
        <v>1</v>
      </c>
      <c r="F5">
        <v>45000</v>
      </c>
      <c r="G5" t="s">
        <v>25</v>
      </c>
    </row>
    <row r="6" spans="1:7" x14ac:dyDescent="0.25">
      <c r="A6">
        <v>305</v>
      </c>
      <c r="B6" t="s">
        <v>11</v>
      </c>
      <c r="C6" t="s">
        <v>12</v>
      </c>
      <c r="D6" t="s">
        <v>17</v>
      </c>
      <c r="E6">
        <v>4</v>
      </c>
      <c r="F6">
        <v>15000</v>
      </c>
      <c r="G6" t="s">
        <v>26</v>
      </c>
    </row>
    <row r="7" spans="1:7" x14ac:dyDescent="0.25">
      <c r="A7">
        <v>306</v>
      </c>
      <c r="B7" t="s">
        <v>15</v>
      </c>
      <c r="C7" t="s">
        <v>16</v>
      </c>
      <c r="D7" t="s">
        <v>13</v>
      </c>
      <c r="E7">
        <v>2</v>
      </c>
      <c r="F7">
        <v>45000</v>
      </c>
      <c r="G7" t="s">
        <v>27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"/>
  <sheetViews>
    <sheetView workbookViewId="0">
      <selection sqref="A1:C4"/>
    </sheetView>
  </sheetViews>
  <sheetFormatPr defaultRowHeight="15" x14ac:dyDescent="0.25"/>
  <sheetData>
    <row r="1" spans="1:3" x14ac:dyDescent="0.25">
      <c r="A1" t="s">
        <v>7</v>
      </c>
      <c r="B1" t="s">
        <v>28</v>
      </c>
      <c r="C1" t="s">
        <v>29</v>
      </c>
    </row>
    <row r="2" spans="1:3" x14ac:dyDescent="0.25">
      <c r="A2" t="s">
        <v>13</v>
      </c>
      <c r="B2" t="s">
        <v>30</v>
      </c>
      <c r="C2">
        <v>18</v>
      </c>
    </row>
    <row r="3" spans="1:3" x14ac:dyDescent="0.25">
      <c r="A3" t="s">
        <v>17</v>
      </c>
      <c r="B3" t="s">
        <v>30</v>
      </c>
      <c r="C3">
        <v>12</v>
      </c>
    </row>
    <row r="4" spans="1:3" x14ac:dyDescent="0.25">
      <c r="A4" t="s">
        <v>21</v>
      </c>
      <c r="B4" t="s">
        <v>30</v>
      </c>
      <c r="C4">
        <v>12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6"/>
  <sheetViews>
    <sheetView workbookViewId="0">
      <selection activeCell="E16" sqref="E16"/>
    </sheetView>
  </sheetViews>
  <sheetFormatPr defaultRowHeight="15" x14ac:dyDescent="0.25"/>
  <sheetData>
    <row r="1" spans="1:6" x14ac:dyDescent="0.25">
      <c r="A1" t="s">
        <v>31</v>
      </c>
      <c r="B1" t="s">
        <v>32</v>
      </c>
      <c r="C1" t="s">
        <v>33</v>
      </c>
      <c r="D1" t="s">
        <v>34</v>
      </c>
      <c r="E1" t="s">
        <v>35</v>
      </c>
      <c r="F1" t="s">
        <v>36</v>
      </c>
    </row>
    <row r="2" spans="1:6" x14ac:dyDescent="0.25">
      <c r="A2">
        <v>1</v>
      </c>
      <c r="B2" t="s">
        <v>37</v>
      </c>
      <c r="C2">
        <v>78</v>
      </c>
      <c r="D2">
        <v>82</v>
      </c>
      <c r="E2">
        <v>85</v>
      </c>
      <c r="F2">
        <v>92</v>
      </c>
    </row>
    <row r="3" spans="1:6" x14ac:dyDescent="0.25">
      <c r="A3">
        <v>2</v>
      </c>
      <c r="B3" t="s">
        <v>38</v>
      </c>
      <c r="C3">
        <v>88</v>
      </c>
      <c r="D3">
        <v>91</v>
      </c>
      <c r="E3">
        <v>90</v>
      </c>
      <c r="F3">
        <v>96</v>
      </c>
    </row>
    <row r="4" spans="1:6" x14ac:dyDescent="0.25">
      <c r="A4">
        <v>3</v>
      </c>
      <c r="B4" t="s">
        <v>39</v>
      </c>
      <c r="C4">
        <v>65</v>
      </c>
      <c r="D4">
        <v>70</v>
      </c>
      <c r="E4">
        <v>72</v>
      </c>
      <c r="F4">
        <v>85</v>
      </c>
    </row>
    <row r="5" spans="1:6" x14ac:dyDescent="0.25">
      <c r="A5">
        <v>4</v>
      </c>
      <c r="B5" t="s">
        <v>40</v>
      </c>
      <c r="C5">
        <v>92</v>
      </c>
      <c r="D5">
        <v>89</v>
      </c>
      <c r="E5">
        <v>94</v>
      </c>
      <c r="F5">
        <v>98</v>
      </c>
    </row>
    <row r="6" spans="1:6" x14ac:dyDescent="0.25">
      <c r="A6">
        <v>5</v>
      </c>
      <c r="B6" t="s">
        <v>41</v>
      </c>
      <c r="C6">
        <v>55</v>
      </c>
      <c r="D6">
        <v>60</v>
      </c>
      <c r="E6">
        <v>58</v>
      </c>
      <c r="F6">
        <v>80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2"/>
  <sheetViews>
    <sheetView workbookViewId="0">
      <selection activeCell="A9" sqref="A9"/>
    </sheetView>
  </sheetViews>
  <sheetFormatPr defaultRowHeight="15" x14ac:dyDescent="0.25"/>
  <sheetData>
    <row r="1" spans="1:10" x14ac:dyDescent="0.25">
      <c r="A1" t="s">
        <v>42</v>
      </c>
      <c r="J1">
        <v>2</v>
      </c>
    </row>
    <row r="2" spans="1:10" x14ac:dyDescent="0.25">
      <c r="A2" t="s">
        <v>43</v>
      </c>
      <c r="J2">
        <v>2</v>
      </c>
    </row>
    <row r="3" spans="1:10" x14ac:dyDescent="0.25">
      <c r="A3" t="s">
        <v>44</v>
      </c>
      <c r="J3">
        <v>2</v>
      </c>
    </row>
    <row r="4" spans="1:10" x14ac:dyDescent="0.25">
      <c r="A4" t="s">
        <v>45</v>
      </c>
      <c r="J4">
        <v>2</v>
      </c>
    </row>
    <row r="5" spans="1:10" x14ac:dyDescent="0.25">
      <c r="A5" t="s">
        <v>46</v>
      </c>
      <c r="J5">
        <v>2</v>
      </c>
    </row>
    <row r="6" spans="1:10" x14ac:dyDescent="0.25">
      <c r="A6" t="s">
        <v>47</v>
      </c>
      <c r="J6">
        <v>2</v>
      </c>
    </row>
    <row r="7" spans="1:10" x14ac:dyDescent="0.25">
      <c r="A7" t="s">
        <v>48</v>
      </c>
      <c r="J7">
        <v>2</v>
      </c>
    </row>
    <row r="8" spans="1:10" x14ac:dyDescent="0.25">
      <c r="A8" t="s">
        <v>49</v>
      </c>
      <c r="J8">
        <v>2</v>
      </c>
    </row>
    <row r="9" spans="1:10" x14ac:dyDescent="0.25">
      <c r="A9" t="s">
        <v>50</v>
      </c>
      <c r="J9">
        <v>2</v>
      </c>
    </row>
    <row r="10" spans="1:10" x14ac:dyDescent="0.25">
      <c r="A10" t="s">
        <v>51</v>
      </c>
      <c r="J10">
        <v>2</v>
      </c>
    </row>
    <row r="11" spans="1:10" x14ac:dyDescent="0.25">
      <c r="A11" t="s">
        <v>52</v>
      </c>
      <c r="J11">
        <v>2</v>
      </c>
    </row>
    <row r="12" spans="1:10" x14ac:dyDescent="0.25">
      <c r="A12" t="s">
        <v>53</v>
      </c>
      <c r="J12">
        <v>2</v>
      </c>
    </row>
    <row r="13" spans="1:10" x14ac:dyDescent="0.25">
      <c r="A13" t="s">
        <v>54</v>
      </c>
      <c r="J13">
        <v>2</v>
      </c>
    </row>
    <row r="14" spans="1:10" x14ac:dyDescent="0.25">
      <c r="A14" t="s">
        <v>55</v>
      </c>
      <c r="J14">
        <v>2</v>
      </c>
    </row>
    <row r="15" spans="1:10" x14ac:dyDescent="0.25">
      <c r="A15" t="s">
        <v>56</v>
      </c>
      <c r="J15">
        <v>2</v>
      </c>
    </row>
    <row r="16" spans="1:10" x14ac:dyDescent="0.25">
      <c r="A16" t="s">
        <v>57</v>
      </c>
      <c r="J16">
        <v>2</v>
      </c>
    </row>
    <row r="17" spans="1:10" x14ac:dyDescent="0.25">
      <c r="A17" t="s">
        <v>58</v>
      </c>
      <c r="J17">
        <v>2</v>
      </c>
    </row>
    <row r="18" spans="1:10" x14ac:dyDescent="0.25">
      <c r="A18" t="s">
        <v>59</v>
      </c>
      <c r="J18">
        <v>2</v>
      </c>
    </row>
    <row r="19" spans="1:10" x14ac:dyDescent="0.25">
      <c r="A19" t="s">
        <v>60</v>
      </c>
      <c r="J19">
        <v>2</v>
      </c>
    </row>
    <row r="20" spans="1:10" x14ac:dyDescent="0.25">
      <c r="A20" t="s">
        <v>61</v>
      </c>
      <c r="J20">
        <v>2</v>
      </c>
    </row>
    <row r="21" spans="1:10" x14ac:dyDescent="0.25">
      <c r="A21" t="s">
        <v>62</v>
      </c>
      <c r="J21">
        <v>2</v>
      </c>
    </row>
    <row r="22" spans="1:10" x14ac:dyDescent="0.25">
      <c r="A22" t="s">
        <v>63</v>
      </c>
      <c r="J22">
        <v>2</v>
      </c>
    </row>
    <row r="23" spans="1:10" x14ac:dyDescent="0.25">
      <c r="A23" t="s">
        <v>64</v>
      </c>
      <c r="J23">
        <v>2</v>
      </c>
    </row>
    <row r="24" spans="1:10" x14ac:dyDescent="0.25">
      <c r="A24" t="s">
        <v>65</v>
      </c>
      <c r="J24">
        <v>2</v>
      </c>
    </row>
    <row r="25" spans="1:10" x14ac:dyDescent="0.25">
      <c r="A25" t="s">
        <v>66</v>
      </c>
      <c r="J25">
        <v>2</v>
      </c>
    </row>
    <row r="26" spans="1:10" x14ac:dyDescent="0.25">
      <c r="A26" t="s">
        <v>67</v>
      </c>
      <c r="J26">
        <v>2</v>
      </c>
    </row>
    <row r="27" spans="1:10" x14ac:dyDescent="0.25">
      <c r="A27" t="s">
        <v>68</v>
      </c>
      <c r="J27">
        <v>2</v>
      </c>
    </row>
    <row r="28" spans="1:10" x14ac:dyDescent="0.25">
      <c r="A28" t="s">
        <v>69</v>
      </c>
      <c r="J28">
        <v>2</v>
      </c>
    </row>
    <row r="29" spans="1:10" x14ac:dyDescent="0.25">
      <c r="A29" t="s">
        <v>70</v>
      </c>
      <c r="J29">
        <v>2</v>
      </c>
    </row>
    <row r="30" spans="1:10" x14ac:dyDescent="0.25">
      <c r="A30" t="s">
        <v>71</v>
      </c>
      <c r="J30">
        <v>2</v>
      </c>
    </row>
    <row r="32" spans="1:10" x14ac:dyDescent="0.25">
      <c r="J32">
        <f>SUM(J1:J30)</f>
        <v>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0D104-D6E3-45E4-86C3-070A65F1B9A1}">
  <dimension ref="A1:R21"/>
  <sheetViews>
    <sheetView tabSelected="1" zoomScale="106" zoomScaleNormal="106" workbookViewId="0">
      <selection activeCell="N4" sqref="N4:N9"/>
    </sheetView>
  </sheetViews>
  <sheetFormatPr defaultRowHeight="15" x14ac:dyDescent="0.25"/>
  <cols>
    <col min="6" max="6" width="12.42578125" customWidth="1"/>
    <col min="7" max="7" width="10.7109375" bestFit="1" customWidth="1"/>
    <col min="13" max="13" width="15.42578125" bestFit="1" customWidth="1"/>
  </cols>
  <sheetData>
    <row r="1" spans="1:18" x14ac:dyDescent="0.25">
      <c r="A1" s="1" t="s">
        <v>42</v>
      </c>
      <c r="B1" s="1"/>
      <c r="C1" s="1"/>
      <c r="D1" s="1"/>
      <c r="E1" s="1"/>
      <c r="F1" s="1"/>
      <c r="R1">
        <v>2</v>
      </c>
    </row>
    <row r="3" spans="1:18" x14ac:dyDescent="0.25">
      <c r="A3" t="s">
        <v>4</v>
      </c>
      <c r="B3" t="s">
        <v>5</v>
      </c>
      <c r="C3" t="s">
        <v>6</v>
      </c>
      <c r="D3" t="s">
        <v>7</v>
      </c>
      <c r="E3" t="s">
        <v>8</v>
      </c>
      <c r="F3" t="s">
        <v>9</v>
      </c>
      <c r="G3" t="s">
        <v>10</v>
      </c>
      <c r="H3" s="1" t="s">
        <v>73</v>
      </c>
      <c r="I3" t="s">
        <v>74</v>
      </c>
      <c r="J3" t="s">
        <v>75</v>
      </c>
      <c r="K3" t="s">
        <v>84</v>
      </c>
      <c r="L3" s="1" t="s">
        <v>77</v>
      </c>
      <c r="M3" t="s">
        <v>86</v>
      </c>
      <c r="N3" t="s">
        <v>87</v>
      </c>
    </row>
    <row r="4" spans="1:18" x14ac:dyDescent="0.25">
      <c r="A4">
        <v>301</v>
      </c>
      <c r="B4" t="s">
        <v>11</v>
      </c>
      <c r="C4" t="s">
        <v>12</v>
      </c>
      <c r="D4" t="s">
        <v>13</v>
      </c>
      <c r="E4">
        <v>2</v>
      </c>
      <c r="F4">
        <v>45000</v>
      </c>
      <c r="G4" t="s">
        <v>14</v>
      </c>
      <c r="H4" s="1">
        <f>F4*E4</f>
        <v>90000</v>
      </c>
      <c r="I4">
        <f>VLOOKUP(D4,$A$15:$C$18,3,FALSE)/100</f>
        <v>0.18</v>
      </c>
      <c r="J4">
        <f>(H4*I4)</f>
        <v>16200</v>
      </c>
      <c r="K4">
        <f>SUM(H4,J4)</f>
        <v>106200</v>
      </c>
      <c r="L4" s="1">
        <f>COUNTA(A4:A9)</f>
        <v>6</v>
      </c>
      <c r="M4" t="str" cm="1">
        <f t="array" ref="M4:M9">IF(E4:E9&gt;3,"HIGH","LOW")</f>
        <v>LOW</v>
      </c>
      <c r="N4" t="str">
        <f>TEXT(G4,"mmm")</f>
        <v>Jan</v>
      </c>
    </row>
    <row r="5" spans="1:18" x14ac:dyDescent="0.25">
      <c r="A5">
        <v>302</v>
      </c>
      <c r="B5" t="s">
        <v>15</v>
      </c>
      <c r="C5" t="s">
        <v>16</v>
      </c>
      <c r="D5" t="s">
        <v>17</v>
      </c>
      <c r="E5">
        <v>5</v>
      </c>
      <c r="F5">
        <v>15000</v>
      </c>
      <c r="G5" t="s">
        <v>18</v>
      </c>
      <c r="H5" s="1">
        <f t="shared" ref="H5:H9" si="0">F5*E5</f>
        <v>75000</v>
      </c>
      <c r="I5">
        <f t="shared" ref="I5:I9" si="1">VLOOKUP(D5,$A$15:$C$18,3,FALSE)/100</f>
        <v>0.12</v>
      </c>
      <c r="J5">
        <f t="shared" ref="J5:J9" si="2">(H5*I5)</f>
        <v>9000</v>
      </c>
      <c r="K5">
        <f t="shared" ref="K5:K9" si="3">SUM(H5,J5)</f>
        <v>84000</v>
      </c>
      <c r="M5" t="str">
        <v>HIGH</v>
      </c>
      <c r="N5" t="str">
        <f t="shared" ref="N5:N9" si="4">TEXT(G5,"mmm")</f>
        <v>Jan</v>
      </c>
    </row>
    <row r="6" spans="1:18" x14ac:dyDescent="0.25">
      <c r="A6">
        <v>303</v>
      </c>
      <c r="B6" t="s">
        <v>19</v>
      </c>
      <c r="C6" t="s">
        <v>20</v>
      </c>
      <c r="D6" t="s">
        <v>21</v>
      </c>
      <c r="E6">
        <v>3</v>
      </c>
      <c r="F6">
        <v>18000</v>
      </c>
      <c r="G6" t="s">
        <v>22</v>
      </c>
      <c r="H6" s="1">
        <f t="shared" si="0"/>
        <v>54000</v>
      </c>
      <c r="I6">
        <f t="shared" si="1"/>
        <v>0.12</v>
      </c>
      <c r="J6">
        <f t="shared" si="2"/>
        <v>6480</v>
      </c>
      <c r="K6">
        <f t="shared" si="3"/>
        <v>60480</v>
      </c>
      <c r="M6" t="str">
        <v>LOW</v>
      </c>
      <c r="N6" t="str">
        <f t="shared" si="4"/>
        <v>Jan</v>
      </c>
    </row>
    <row r="7" spans="1:18" x14ac:dyDescent="0.25">
      <c r="A7">
        <v>304</v>
      </c>
      <c r="B7" t="s">
        <v>23</v>
      </c>
      <c r="C7" t="s">
        <v>24</v>
      </c>
      <c r="D7" t="s">
        <v>13</v>
      </c>
      <c r="E7">
        <v>1</v>
      </c>
      <c r="F7">
        <v>45000</v>
      </c>
      <c r="G7" t="s">
        <v>25</v>
      </c>
      <c r="H7" s="1">
        <f t="shared" si="0"/>
        <v>45000</v>
      </c>
      <c r="I7">
        <f t="shared" si="1"/>
        <v>0.18</v>
      </c>
      <c r="J7">
        <f t="shared" si="2"/>
        <v>8100</v>
      </c>
      <c r="K7">
        <f t="shared" si="3"/>
        <v>53100</v>
      </c>
      <c r="M7" t="str">
        <v>LOW</v>
      </c>
      <c r="N7" t="str">
        <f t="shared" si="4"/>
        <v>Jan</v>
      </c>
    </row>
    <row r="8" spans="1:18" x14ac:dyDescent="0.25">
      <c r="A8">
        <v>305</v>
      </c>
      <c r="B8" t="s">
        <v>11</v>
      </c>
      <c r="C8" t="s">
        <v>12</v>
      </c>
      <c r="D8" t="s">
        <v>17</v>
      </c>
      <c r="E8">
        <v>4</v>
      </c>
      <c r="F8">
        <v>15000</v>
      </c>
      <c r="G8" t="s">
        <v>26</v>
      </c>
      <c r="H8" s="1">
        <f t="shared" si="0"/>
        <v>60000</v>
      </c>
      <c r="I8">
        <f t="shared" si="1"/>
        <v>0.12</v>
      </c>
      <c r="J8">
        <f t="shared" si="2"/>
        <v>7200</v>
      </c>
      <c r="K8">
        <f t="shared" si="3"/>
        <v>67200</v>
      </c>
      <c r="M8" t="str">
        <v>HIGH</v>
      </c>
      <c r="N8" t="str">
        <f t="shared" si="4"/>
        <v>Jan</v>
      </c>
    </row>
    <row r="9" spans="1:18" x14ac:dyDescent="0.25">
      <c r="A9">
        <v>306</v>
      </c>
      <c r="B9" t="s">
        <v>15</v>
      </c>
      <c r="C9" t="s">
        <v>16</v>
      </c>
      <c r="D9" t="s">
        <v>13</v>
      </c>
      <c r="E9">
        <v>2</v>
      </c>
      <c r="F9">
        <v>45000</v>
      </c>
      <c r="G9" t="s">
        <v>27</v>
      </c>
      <c r="H9" s="1">
        <f t="shared" si="0"/>
        <v>90000</v>
      </c>
      <c r="I9">
        <f t="shared" si="1"/>
        <v>0.18</v>
      </c>
      <c r="J9">
        <f t="shared" si="2"/>
        <v>16200</v>
      </c>
      <c r="K9">
        <f t="shared" si="3"/>
        <v>106200</v>
      </c>
      <c r="M9" t="str">
        <v>LOW</v>
      </c>
      <c r="N9" t="str">
        <f t="shared" si="4"/>
        <v>Jan</v>
      </c>
    </row>
    <row r="10" spans="1:18" x14ac:dyDescent="0.25">
      <c r="J10" s="1" t="s">
        <v>76</v>
      </c>
      <c r="K10" s="3">
        <f>SUM(K4:K9)</f>
        <v>477180</v>
      </c>
    </row>
    <row r="11" spans="1:18" x14ac:dyDescent="0.25">
      <c r="K11" s="2"/>
    </row>
    <row r="12" spans="1:18" x14ac:dyDescent="0.25">
      <c r="A12" s="1" t="s">
        <v>43</v>
      </c>
      <c r="B12" s="1"/>
      <c r="C12" s="1"/>
      <c r="D12" s="1"/>
      <c r="E12" s="1"/>
      <c r="F12" s="1"/>
    </row>
    <row r="13" spans="1:18" x14ac:dyDescent="0.25">
      <c r="H13" s="1" t="s">
        <v>78</v>
      </c>
      <c r="I13" s="1"/>
      <c r="J13" s="1"/>
      <c r="K13" s="1"/>
    </row>
    <row r="14" spans="1:18" x14ac:dyDescent="0.25">
      <c r="H14" t="s">
        <v>80</v>
      </c>
      <c r="I14">
        <f>SUMIF(B4:B9,H14,H4:H9)</f>
        <v>45000</v>
      </c>
    </row>
    <row r="15" spans="1:18" x14ac:dyDescent="0.25">
      <c r="A15" t="s">
        <v>7</v>
      </c>
      <c r="B15" t="s">
        <v>28</v>
      </c>
      <c r="C15" t="s">
        <v>29</v>
      </c>
      <c r="H15" t="s">
        <v>79</v>
      </c>
      <c r="I15">
        <f t="shared" ref="I15:I17" si="5">SUMIF(B5:B10,H15,H5:H10)</f>
        <v>54000</v>
      </c>
    </row>
    <row r="16" spans="1:18" x14ac:dyDescent="0.25">
      <c r="A16" t="s">
        <v>13</v>
      </c>
      <c r="B16" t="s">
        <v>30</v>
      </c>
      <c r="C16">
        <v>18</v>
      </c>
      <c r="H16" t="s">
        <v>81</v>
      </c>
      <c r="I16">
        <f t="shared" si="5"/>
        <v>60000</v>
      </c>
    </row>
    <row r="17" spans="1:12" x14ac:dyDescent="0.25">
      <c r="A17" t="s">
        <v>17</v>
      </c>
      <c r="B17" t="s">
        <v>30</v>
      </c>
      <c r="C17">
        <v>12</v>
      </c>
      <c r="H17" t="s">
        <v>82</v>
      </c>
      <c r="I17">
        <f t="shared" si="5"/>
        <v>90000</v>
      </c>
    </row>
    <row r="18" spans="1:12" x14ac:dyDescent="0.25">
      <c r="A18" t="s">
        <v>21</v>
      </c>
      <c r="B18" t="s">
        <v>30</v>
      </c>
      <c r="C18">
        <v>12</v>
      </c>
    </row>
    <row r="19" spans="1:12" x14ac:dyDescent="0.25">
      <c r="H19" s="1" t="s">
        <v>49</v>
      </c>
      <c r="I19" s="1"/>
      <c r="J19" s="1"/>
      <c r="K19" s="1"/>
      <c r="L19" s="1"/>
    </row>
    <row r="20" spans="1:12" x14ac:dyDescent="0.25">
      <c r="H20" t="s">
        <v>83</v>
      </c>
      <c r="I20">
        <f>MAX(K4:K9)</f>
        <v>106200</v>
      </c>
    </row>
    <row r="21" spans="1:12" x14ac:dyDescent="0.25">
      <c r="H21" t="s">
        <v>85</v>
      </c>
      <c r="I21">
        <f>MIN(K4:K9)</f>
        <v>53100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Sales_Data</vt:lpstr>
      <vt:lpstr>Product_Master</vt:lpstr>
      <vt:lpstr>Student_Marks</vt:lpstr>
      <vt:lpstr>Questions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ASDC27</cp:lastModifiedBy>
  <dcterms:created xsi:type="dcterms:W3CDTF">2025-12-20T09:26:06Z</dcterms:created>
  <dcterms:modified xsi:type="dcterms:W3CDTF">2026-07-13T07:21:42Z</dcterms:modified>
</cp:coreProperties>
</file>