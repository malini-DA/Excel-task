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ibrary2\Desktop\"/>
    </mc:Choice>
  </mc:AlternateContent>
  <xr:revisionPtr revIDLastSave="0" documentId="8_{918A299B-481F-4D6F-A7A8-C0ABD66600F5}" xr6:coauthVersionLast="47" xr6:coauthVersionMax="47" xr10:uidLastSave="{00000000-0000-0000-0000-000000000000}"/>
  <bookViews>
    <workbookView xWindow="-120" yWindow="-120" windowWidth="21840" windowHeight="13020" firstSheet="1" activeTab="1" xr2:uid="{00000000-000D-0000-FFFF-FFFF00000000}"/>
  </bookViews>
  <sheets>
    <sheet name="Instructions" sheetId="1" r:id="rId1"/>
    <sheet name="pivott table" sheetId="8" r:id="rId2"/>
    <sheet name="Sales_Data" sheetId="2" r:id="rId3"/>
    <sheet name="Product_Master" sheetId="3" r:id="rId4"/>
    <sheet name="Student_Marks" sheetId="4" r:id="rId5"/>
    <sheet name="Questions" sheetId="5" r:id="rId6"/>
    <sheet name="Sheet1" sheetId="6" r:id="rId7"/>
  </sheets>
  <definedNames>
    <definedName name="_xlnm._FilterDatabase" localSheetId="6" hidden="1">Sheet1!$N$13:$O$19</definedName>
  </definedNames>
  <calcPr calcId="191029"/>
  <pivotCaches>
    <pivotCache cacheId="4" r:id="rId8"/>
    <pivotCache cacheId="8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9" i="6" l="1" a="1"/>
  <c r="E29" i="6" s="1"/>
  <c r="R4" i="6" a="1"/>
  <c r="R4" i="6" s="1"/>
  <c r="Q5" i="6"/>
  <c r="Q6" i="6"/>
  <c r="Q7" i="6"/>
  <c r="Q8" i="6"/>
  <c r="Q9" i="6"/>
  <c r="Q4" i="6"/>
  <c r="K3" i="4"/>
  <c r="K4" i="4"/>
  <c r="K5" i="4"/>
  <c r="K6" i="4"/>
  <c r="K2" i="4"/>
  <c r="D7" i="4"/>
  <c r="J2" i="4" a="1"/>
  <c r="J2" i="4" s="1"/>
  <c r="I2" i="4"/>
  <c r="H2" i="4"/>
  <c r="P4" i="6"/>
  <c r="G3" i="4"/>
  <c r="G4" i="4"/>
  <c r="G5" i="4"/>
  <c r="G6" i="4"/>
  <c r="G2" i="4"/>
  <c r="N5" i="6"/>
  <c r="N6" i="6"/>
  <c r="N7" i="6"/>
  <c r="N8" i="6"/>
  <c r="N9" i="6"/>
  <c r="N4" i="6"/>
  <c r="M4" i="6" a="1"/>
  <c r="M4" i="6" s="1"/>
  <c r="L4" i="6"/>
  <c r="I5" i="6"/>
  <c r="I6" i="6"/>
  <c r="I7" i="6"/>
  <c r="I8" i="6"/>
  <c r="I9" i="6"/>
  <c r="I4" i="6"/>
  <c r="H5" i="6"/>
  <c r="H6" i="6"/>
  <c r="H7" i="6"/>
  <c r="H8" i="6"/>
  <c r="I16" i="6" s="1"/>
  <c r="H9" i="6"/>
  <c r="I17" i="6" s="1"/>
  <c r="H4" i="6"/>
  <c r="J32" i="5"/>
  <c r="J4" i="6" l="1"/>
  <c r="K4" i="6" s="1"/>
  <c r="J7" i="6"/>
  <c r="K7" i="6" s="1"/>
  <c r="J5" i="6"/>
  <c r="K5" i="6" s="1"/>
  <c r="J8" i="6"/>
  <c r="K8" i="6" s="1"/>
  <c r="J6" i="6"/>
  <c r="K6" i="6" s="1"/>
  <c r="J9" i="6"/>
  <c r="I15" i="6"/>
  <c r="I14" i="6"/>
  <c r="K9" i="6"/>
  <c r="I21" i="6" l="1"/>
  <c r="K10" i="6"/>
  <c r="I20" i="6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<sst xmlns="http://schemas.openxmlformats.org/spreadsheetml/2006/main" count="209" uniqueCount="106">
  <si>
    <t>Total Questions: 30</t>
  </si>
  <si>
    <t>Difficulty Level: Medium</t>
  </si>
  <si>
    <t>Syllabus: Formulas, Logical Functions, Lookups, INDEX-MATCH, Pivot Tables &amp; Charts, Data Analysis</t>
  </si>
  <si>
    <t>Attempt all questions using appropriate Excel tools/functions.</t>
  </si>
  <si>
    <t>Order_ID</t>
  </si>
  <si>
    <t>Region</t>
  </si>
  <si>
    <t>Salesperson</t>
  </si>
  <si>
    <t>Product</t>
  </si>
  <si>
    <t>Quantity</t>
  </si>
  <si>
    <t>Unit_Price</t>
  </si>
  <si>
    <t>Sales_Date</t>
  </si>
  <si>
    <t>North</t>
  </si>
  <si>
    <t>Amit</t>
  </si>
  <si>
    <t>Laptop</t>
  </si>
  <si>
    <t>05-01-2025</t>
  </si>
  <si>
    <t>South</t>
  </si>
  <si>
    <t>Riya</t>
  </si>
  <si>
    <t>Mobile</t>
  </si>
  <si>
    <t>07-01-2025</t>
  </si>
  <si>
    <t>East</t>
  </si>
  <si>
    <t>Kunal</t>
  </si>
  <si>
    <t>Tablet</t>
  </si>
  <si>
    <t>10-01-2025</t>
  </si>
  <si>
    <t>West</t>
  </si>
  <si>
    <t>Neha</t>
  </si>
  <si>
    <t>12-01-2025</t>
  </si>
  <si>
    <t>15-01-2025</t>
  </si>
  <si>
    <t>18-01-2025</t>
  </si>
  <si>
    <t>Category</t>
  </si>
  <si>
    <t>GST_%</t>
  </si>
  <si>
    <t>Electronics</t>
  </si>
  <si>
    <t>Student_ID</t>
  </si>
  <si>
    <t>Name</t>
  </si>
  <si>
    <t>Maths</t>
  </si>
  <si>
    <t>Statistics</t>
  </si>
  <si>
    <t>Excel</t>
  </si>
  <si>
    <t>Attendance_%</t>
  </si>
  <si>
    <t>Rahul</t>
  </si>
  <si>
    <t>Sneha</t>
  </si>
  <si>
    <t>Arjun</t>
  </si>
  <si>
    <t>Pooja</t>
  </si>
  <si>
    <t>Vikas</t>
  </si>
  <si>
    <t>1. Calculate Total Sales for each order (Quantity × Unit_Price).</t>
  </si>
  <si>
    <t>2. Calculate GST Amount using VLOOKUP from Product_Master.</t>
  </si>
  <si>
    <t>3. Find Final Amount payable (Total Sales + GST).</t>
  </si>
  <si>
    <t>4. Find Grand Total of Final Amount.</t>
  </si>
  <si>
    <t>5. Count total number of orders using COUNTA.</t>
  </si>
  <si>
    <t>6. Find Region-wise total sales using SUMIF.</t>
  </si>
  <si>
    <t>7. Use IF to classify Quantity as High (&gt;3) or Low (&lt;=3).</t>
  </si>
  <si>
    <t>8. Find the maximum and minimum Final Amount.</t>
  </si>
  <si>
    <t>9. Extract month name from Sales_Date.</t>
  </si>
  <si>
    <t>10. Sort Sales_Data by Final Amount (Descending).</t>
  </si>
  <si>
    <t>11. Use INDEX-MATCH to fetch Product Category.</t>
  </si>
  <si>
    <t>12. Calculate average marks of each student.</t>
  </si>
  <si>
    <t>13. Find the topper based on average marks.</t>
  </si>
  <si>
    <t>14. Count students with Attendance above 90%.</t>
  </si>
  <si>
    <t>15. Use IF to classify students as Eligible (Attendance &gt;= 85%).</t>
  </si>
  <si>
    <t>16. Create a Pivot Table showing Product-wise Total Sales.</t>
  </si>
  <si>
    <t>17. Create a Pivot Table showing Region-wise Total Sales.</t>
  </si>
  <si>
    <t>18. Insert a Pivot Chart for Product-wise Sales.</t>
  </si>
  <si>
    <t>19. Create a Bar Chart for Student Excel marks.</t>
  </si>
  <si>
    <t>20. Find Median of Statistics marks.</t>
  </si>
  <si>
    <t>21. Find Standard Deviation of Excel marks.</t>
  </si>
  <si>
    <t>22. Use CONCAT to combine Student_ID and Name.</t>
  </si>
  <si>
    <t>23. Use LEFT function to extract first 2 letters of Salesperson name.</t>
  </si>
  <si>
    <t>24. Apply Conditional Formatting to highlight Final Amount &gt; 60000.</t>
  </si>
  <si>
    <t>25. Filter orders where Product is Laptop and Quantity &gt; 1.</t>
  </si>
  <si>
    <t>26. Use COUNTIFS to count Laptop orders in North region.</t>
  </si>
  <si>
    <t>27. Use ROUND to round Unit_Price to nearest thousand.</t>
  </si>
  <si>
    <t>28. Remove duplicate records if present.</t>
  </si>
  <si>
    <t>29. Freeze top row in Sales_Data sheet.</t>
  </si>
  <si>
    <t>30. Protect the Student_Marks sheet.</t>
  </si>
  <si>
    <t>MS Excel Practical Exam</t>
  </si>
  <si>
    <t>total sales</t>
  </si>
  <si>
    <t>gst %</t>
  </si>
  <si>
    <t>gst amt</t>
  </si>
  <si>
    <t>Grand total</t>
  </si>
  <si>
    <t>total order</t>
  </si>
  <si>
    <t>Find Region-wise total sales using SUMIF.</t>
  </si>
  <si>
    <t>EAST</t>
  </si>
  <si>
    <t>NORTH</t>
  </si>
  <si>
    <t>SOUTH</t>
  </si>
  <si>
    <t>MAX AMT</t>
  </si>
  <si>
    <t>FINAL amt</t>
  </si>
  <si>
    <t>MIN AMT</t>
  </si>
  <si>
    <t>CLASSIFICATION</t>
  </si>
  <si>
    <t>MONTH NAME</t>
  </si>
  <si>
    <t>east</t>
  </si>
  <si>
    <t>average marks</t>
  </si>
  <si>
    <t>category</t>
  </si>
  <si>
    <t>topper</t>
  </si>
  <si>
    <t>attendance</t>
  </si>
  <si>
    <t>eligibility</t>
  </si>
  <si>
    <t>Row Labels</t>
  </si>
  <si>
    <t>Grand Total</t>
  </si>
  <si>
    <t>Sum of Unit_Price</t>
  </si>
  <si>
    <t>Sum of Excel</t>
  </si>
  <si>
    <t>median stat.</t>
  </si>
  <si>
    <t>name.id</t>
  </si>
  <si>
    <t>sales person first 2</t>
  </si>
  <si>
    <t>region</t>
  </si>
  <si>
    <t>laptop order</t>
  </si>
  <si>
    <t>north</t>
  </si>
  <si>
    <t>:D9</t>
  </si>
  <si>
    <t>round</t>
  </si>
  <si>
    <t>salesperson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</si>
</sst>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[MS_Excel_Practical_Exam_Medium_Level da19 mt.xlsx]pivott table!PivotTable1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'pivott 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'pivott table'!$A$4:$A$7</c:f>
              <c:strCache>
                <c:ptCount val="3"/>
                <c:pt idx="0">
                  <c:v>Laptop</c:v>
                </c:pt>
                <c:pt idx="1">
                  <c:v>Mobile</c:v>
                </c:pt>
                <c:pt idx="2">
                  <c:v>Tablet</c:v>
                </c:pt>
              </c:strCache>
            </c:strRef>
          </c:cat>
          <c:val>
            <c:numRef>
              <c:f>'pivott table'!$B$4:$B$7</c:f>
              <c:numCache>
                <c:formatCode>General</c:formatCode>
                <c:ptCount val="3"/>
                <c:pt idx="0">
                  <c:v>135000</c:v>
                </c:pt>
                <c:pt idx="1">
                  <c:v>30000</c:v>
                </c:pt>
                <c:pt idx="2">
                  <c:v>18000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1F-4527-949C-11E954C0B6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88078944"/>
        <c:axId val="1601709168"/>
      </c:barChart>
      <c:catAx>
        <c:axId val="19880789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1709168"/>
        <c:crosses val="autoZero"/>
        <c:auto val="1"/>
        <c:lblAlgn val="ctr"/>
        <c:lblOffset val="100"/>
        <c:noMultiLvlLbl val="0"/>
      </c:catAx>
      <c:valAx>
        <c:axId val="1601709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078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[MS_Excel_Practical_Exam_Medium_Level da19 mt.xlsx]Student_Marks!PivotTable3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Student_Marks!$B$12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Student_Marks!$A$13:$A$18</c:f>
              <c:strCache>
                <c:ptCount val="5"/>
                <c:pt idx="0">
                  <c:v>Arjun</c:v>
                </c:pt>
                <c:pt idx="1">
                  <c:v>Pooja</c:v>
                </c:pt>
                <c:pt idx="2">
                  <c:v>Rahul</c:v>
                </c:pt>
                <c:pt idx="3">
                  <c:v>Sneha</c:v>
                </c:pt>
                <c:pt idx="4">
                  <c:v>Vikas</c:v>
                </c:pt>
              </c:strCache>
            </c:strRef>
          </c:cat>
          <c:val>
            <c:numRef>
              <c:f>Student_Marks!$B$13:$B$18</c:f>
              <c:numCache>
                <c:formatCode>General</c:formatCode>
                <c:ptCount val="5"/>
                <c:pt idx="0">
                  <c:v>72</c:v>
                </c:pt>
                <c:pt idx="1">
                  <c:v>94</c:v>
                </c:pt>
                <c:pt idx="2">
                  <c:v>85</c:v>
                </c:pt>
                <c:pt idx="3">
                  <c:v>90</c:v>
                </c:pt>
                <c:pt idx="4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32-4BF8-8162-8F7F6B6FBB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988083120"/>
        <c:axId val="1832381008"/>
      </c:barChart>
      <c:catAx>
        <c:axId val="19880831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2381008"/>
        <c:crosses val="autoZero"/>
        <c:auto val="1"/>
        <c:lblAlgn val="ctr"/>
        <c:lblOffset val="100"/>
        <c:noMultiLvlLbl val="0"/>
      </c:catAx>
      <c:valAx>
        <c:axId val="1832381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083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400050</xdr:colOff>
      <xdr:row>1</xdr:row>
      <xdr:rowOff>14287</xdr:rowOff>
    </xdr:from>
    <xdr:to>
      <xdr:col>13</xdr:col>
      <xdr:colOff>95250</xdr:colOff>
      <xdr:row>15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77FAF9-620D-EA41-0875-1FA8DB329C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209550</xdr:colOff>
      <xdr:row>10</xdr:row>
      <xdr:rowOff>185737</xdr:rowOff>
    </xdr:from>
    <xdr:to>
      <xdr:col>8</xdr:col>
      <xdr:colOff>514350</xdr:colOff>
      <xdr:row>25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82CB19-78C4-7F4A-E216-4A41CA8692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brary2" refreshedDate="46216.579831944444" createdVersion="8" refreshedVersion="8" minRefreshableVersion="3" recordCount="6" xr:uid="{B2F3F002-B3E8-4047-9A0D-54E95FB584DE}">
  <cacheSource type="worksheet">
    <worksheetSource ref="A1:G7" sheet="Sales_Data"/>
  </cacheSource>
  <cacheFields count="7">
    <cacheField name="Order_ID" numFmtId="0">
      <sharedItems containsSemiMixedTypes="0" containsString="0" containsNumber="1" containsInteger="1" minValue="301" maxValue="306"/>
    </cacheField>
    <cacheField name="Region" numFmtId="0">
      <sharedItems count="4">
        <s v="North"/>
        <s v="South"/>
        <s v="East"/>
        <s v="West"/>
      </sharedItems>
    </cacheField>
    <cacheField name="Salesperson" numFmtId="0">
      <sharedItems/>
    </cacheField>
    <cacheField name="Product" numFmtId="0">
      <sharedItems count="3">
        <s v="Laptop"/>
        <s v="Mobile"/>
        <s v="Tablet"/>
      </sharedItems>
    </cacheField>
    <cacheField name="Quantity" numFmtId="0">
      <sharedItems containsSemiMixedTypes="0" containsString="0" containsNumber="1" containsInteger="1" minValue="1" maxValue="5"/>
    </cacheField>
    <cacheField name="Unit_Price" numFmtId="0">
      <sharedItems containsSemiMixedTypes="0" containsString="0" containsNumber="1" containsInteger="1" minValue="15000" maxValue="45000"/>
    </cacheField>
    <cacheField name="Sales_Dat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brary2" refreshedDate="46216.585450694445" createdVersion="8" refreshedVersion="8" minRefreshableVersion="3" recordCount="5" xr:uid="{B2FE57C3-CE93-48C4-B474-CAD4DB38F099}">
  <cacheSource type="worksheet">
    <worksheetSource ref="A1:J6" sheet="Student_Marks"/>
  </cacheSource>
  <cacheFields count="10">
    <cacheField name="Student_ID" numFmtId="0">
      <sharedItems containsSemiMixedTypes="0" containsString="0" containsNumber="1" containsInteger="1" minValue="1" maxValue="5"/>
    </cacheField>
    <cacheField name="Name" numFmtId="0">
      <sharedItems count="5">
        <s v="Rahul"/>
        <s v="Sneha"/>
        <s v="Arjun"/>
        <s v="Pooja"/>
        <s v="Vikas"/>
      </sharedItems>
    </cacheField>
    <cacheField name="Maths" numFmtId="0">
      <sharedItems containsSemiMixedTypes="0" containsString="0" containsNumber="1" containsInteger="1" minValue="55" maxValue="92"/>
    </cacheField>
    <cacheField name="Statistics" numFmtId="0">
      <sharedItems containsSemiMixedTypes="0" containsString="0" containsNumber="1" containsInteger="1" minValue="60" maxValue="91"/>
    </cacheField>
    <cacheField name="Excel" numFmtId="0">
      <sharedItems containsSemiMixedTypes="0" containsString="0" containsNumber="1" containsInteger="1" minValue="58" maxValue="94"/>
    </cacheField>
    <cacheField name="Attendance_%" numFmtId="0">
      <sharedItems containsSemiMixedTypes="0" containsString="0" containsNumber="1" containsInteger="1" minValue="80" maxValue="98"/>
    </cacheField>
    <cacheField name="average marks" numFmtId="0">
      <sharedItems containsSemiMixedTypes="0" containsString="0" containsNumber="1" minValue="57.666666666666664" maxValue="91.666666666666671"/>
    </cacheField>
    <cacheField name="topper" numFmtId="0">
      <sharedItems containsBlank="1"/>
    </cacheField>
    <cacheField name="attendance" numFmtId="0">
      <sharedItems containsString="0" containsBlank="1" containsNumber="1" containsInteger="1" minValue="3" maxValue="3"/>
    </cacheField>
    <cacheField name="eligibilit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n v="301"/>
    <x v="0"/>
    <s v="Amit"/>
    <x v="0"/>
    <n v="2"/>
    <n v="45000"/>
    <s v="05-01-2025"/>
  </r>
  <r>
    <n v="302"/>
    <x v="1"/>
    <s v="Riya"/>
    <x v="1"/>
    <n v="5"/>
    <n v="15000"/>
    <s v="07-01-2025"/>
  </r>
  <r>
    <n v="303"/>
    <x v="2"/>
    <s v="Kunal"/>
    <x v="2"/>
    <n v="3"/>
    <n v="18000"/>
    <s v="10-01-2025"/>
  </r>
  <r>
    <n v="304"/>
    <x v="3"/>
    <s v="Neha"/>
    <x v="0"/>
    <n v="1"/>
    <n v="45000"/>
    <s v="12-01-2025"/>
  </r>
  <r>
    <n v="305"/>
    <x v="0"/>
    <s v="Amit"/>
    <x v="1"/>
    <n v="4"/>
    <n v="15000"/>
    <s v="15-01-2025"/>
  </r>
  <r>
    <n v="306"/>
    <x v="1"/>
    <s v="Riya"/>
    <x v="0"/>
    <n v="2"/>
    <n v="45000"/>
    <s v="18-01-202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1"/>
    <x v="0"/>
    <n v="78"/>
    <n v="82"/>
    <n v="85"/>
    <n v="92"/>
    <n v="81.666666666666671"/>
    <s v="Pooja"/>
    <n v="3"/>
    <s v="eligible"/>
  </r>
  <r>
    <n v="2"/>
    <x v="1"/>
    <n v="88"/>
    <n v="91"/>
    <n v="90"/>
    <n v="96"/>
    <n v="89.666666666666671"/>
    <m/>
    <m/>
    <s v="eligible"/>
  </r>
  <r>
    <n v="3"/>
    <x v="2"/>
    <n v="65"/>
    <n v="70"/>
    <n v="72"/>
    <n v="85"/>
    <n v="69"/>
    <m/>
    <m/>
    <s v="eligible"/>
  </r>
  <r>
    <n v="4"/>
    <x v="3"/>
    <n v="92"/>
    <n v="89"/>
    <n v="94"/>
    <n v="98"/>
    <n v="91.666666666666671"/>
    <m/>
    <m/>
    <s v="eligible"/>
  </r>
  <r>
    <n v="5"/>
    <x v="4"/>
    <n v="55"/>
    <n v="60"/>
    <n v="58"/>
    <n v="80"/>
    <n v="57.666666666666664"/>
    <m/>
    <m/>
    <s v="not eligibil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AFE3C7-A6FE-4C68-A259-6CB93C1AFE67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:B17" firstHeaderRow="1" firstDataRow="1" firstDataCol="1"/>
  <pivotFields count="7"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nit_Pric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46D7AF-22C4-4B4B-B408-A048E31A5C3E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7"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Unit_Price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FB992B-F20F-429A-8296-A548FF10E821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2:B18" firstHeaderRow="1" firstDataRow="1" firstDataCol="1"/>
  <pivotFields count="10">
    <pivotField showAll="0"/>
    <pivotField axis="axisRow" showAll="0">
      <items count="6">
        <item x="2"/>
        <item x="3"/>
        <item x="0"/>
        <item x="1"/>
        <item x="4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Excel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workbookViewId="0">
      <selection activeCell="I13" sqref="I13"/>
    </sheetView>
  </sheetViews>
  <sheetFormatPr defaultRowHeight="15" x14ac:dyDescent="0.25"/>
  <sheetData>
    <row r="1" spans="1:1" x14ac:dyDescent="0.25">
      <c r="A1" t="s">
        <v>72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3B541-7B96-4FBA-A8E3-F9DA77147999}">
  <dimension ref="A2:B17"/>
  <sheetViews>
    <sheetView tabSelected="1" workbookViewId="0">
      <selection activeCell="E22" sqref="E22"/>
    </sheetView>
  </sheetViews>
  <sheetFormatPr defaultRowHeight="15" x14ac:dyDescent="0.25"/>
  <cols>
    <col min="1" max="1" width="13.140625" bestFit="1" customWidth="1"/>
    <col min="2" max="2" width="17" bestFit="1" customWidth="1"/>
  </cols>
  <sheetData>
    <row r="2" spans="1:2" x14ac:dyDescent="0.25">
      <c r="A2" t="s">
        <v>57</v>
      </c>
    </row>
    <row r="3" spans="1:2" x14ac:dyDescent="0.25">
      <c r="A3" s="3" t="s">
        <v>93</v>
      </c>
      <c r="B3" t="s">
        <v>95</v>
      </c>
    </row>
    <row r="4" spans="1:2" x14ac:dyDescent="0.25">
      <c r="A4" s="4" t="s">
        <v>13</v>
      </c>
      <c r="B4" s="5">
        <v>135000</v>
      </c>
    </row>
    <row r="5" spans="1:2" x14ac:dyDescent="0.25">
      <c r="A5" s="4" t="s">
        <v>17</v>
      </c>
      <c r="B5" s="5">
        <v>30000</v>
      </c>
    </row>
    <row r="6" spans="1:2" x14ac:dyDescent="0.25">
      <c r="A6" s="4" t="s">
        <v>21</v>
      </c>
      <c r="B6" s="5">
        <v>18000</v>
      </c>
    </row>
    <row r="7" spans="1:2" x14ac:dyDescent="0.25">
      <c r="A7" s="4" t="s">
        <v>94</v>
      </c>
      <c r="B7" s="5">
        <v>183000</v>
      </c>
    </row>
    <row r="9" spans="1:2" x14ac:dyDescent="0.25">
      <c r="A9" t="s">
        <v>58</v>
      </c>
    </row>
    <row r="11" spans="1:2" x14ac:dyDescent="0.25">
      <c r="A11" t="s">
        <v>57</v>
      </c>
    </row>
    <row r="12" spans="1:2" x14ac:dyDescent="0.25">
      <c r="A12" s="3" t="s">
        <v>93</v>
      </c>
      <c r="B12" t="s">
        <v>95</v>
      </c>
    </row>
    <row r="13" spans="1:2" x14ac:dyDescent="0.25">
      <c r="A13" s="4" t="s">
        <v>19</v>
      </c>
      <c r="B13" s="5">
        <v>18000</v>
      </c>
    </row>
    <row r="14" spans="1:2" x14ac:dyDescent="0.25">
      <c r="A14" s="4" t="s">
        <v>11</v>
      </c>
      <c r="B14" s="5">
        <v>60000</v>
      </c>
    </row>
    <row r="15" spans="1:2" x14ac:dyDescent="0.25">
      <c r="A15" s="4" t="s">
        <v>15</v>
      </c>
      <c r="B15" s="5">
        <v>60000</v>
      </c>
    </row>
    <row r="16" spans="1:2" x14ac:dyDescent="0.25">
      <c r="A16" s="4" t="s">
        <v>23</v>
      </c>
      <c r="B16" s="5">
        <v>45000</v>
      </c>
    </row>
    <row r="17" spans="1:2" x14ac:dyDescent="0.25">
      <c r="A17" s="4" t="s">
        <v>94</v>
      </c>
      <c r="B17" s="5">
        <v>183000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workbookViewId="0">
      <pane ySplit="1" topLeftCell="A2" activePane="bottomLeft" state="frozen"/>
      <selection pane="bottomLeft" activeCell="B6" sqref="B6"/>
    </sheetView>
  </sheetViews>
  <sheetFormatPr defaultRowHeight="15" x14ac:dyDescent="0.25"/>
  <cols>
    <col min="7" max="7" width="10.42578125" customWidth="1"/>
  </cols>
  <sheetData>
    <row r="1" spans="1:7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</row>
    <row r="2" spans="1:7" x14ac:dyDescent="0.25">
      <c r="A2">
        <v>301</v>
      </c>
      <c r="B2" t="s">
        <v>11</v>
      </c>
      <c r="C2" t="s">
        <v>12</v>
      </c>
      <c r="D2" t="s">
        <v>13</v>
      </c>
      <c r="E2">
        <v>2</v>
      </c>
      <c r="F2">
        <v>45000</v>
      </c>
      <c r="G2" t="s">
        <v>14</v>
      </c>
    </row>
    <row r="3" spans="1:7" x14ac:dyDescent="0.25">
      <c r="A3">
        <v>302</v>
      </c>
      <c r="B3" t="s">
        <v>15</v>
      </c>
      <c r="C3" t="s">
        <v>16</v>
      </c>
      <c r="D3" t="s">
        <v>17</v>
      </c>
      <c r="E3">
        <v>5</v>
      </c>
      <c r="F3">
        <v>15000</v>
      </c>
      <c r="G3" t="s">
        <v>18</v>
      </c>
    </row>
    <row r="4" spans="1:7" x14ac:dyDescent="0.25">
      <c r="A4">
        <v>303</v>
      </c>
      <c r="B4" t="s">
        <v>19</v>
      </c>
      <c r="C4" t="s">
        <v>20</v>
      </c>
      <c r="D4" t="s">
        <v>21</v>
      </c>
      <c r="E4">
        <v>3</v>
      </c>
      <c r="F4">
        <v>18000</v>
      </c>
      <c r="G4" t="s">
        <v>22</v>
      </c>
    </row>
    <row r="5" spans="1:7" x14ac:dyDescent="0.25">
      <c r="A5">
        <v>304</v>
      </c>
      <c r="B5" t="s">
        <v>23</v>
      </c>
      <c r="C5" t="s">
        <v>24</v>
      </c>
      <c r="D5" t="s">
        <v>13</v>
      </c>
      <c r="E5">
        <v>1</v>
      </c>
      <c r="F5">
        <v>45000</v>
      </c>
      <c r="G5" t="s">
        <v>25</v>
      </c>
    </row>
    <row r="6" spans="1:7" x14ac:dyDescent="0.25">
      <c r="A6">
        <v>305</v>
      </c>
      <c r="B6" t="s">
        <v>11</v>
      </c>
      <c r="C6" t="s">
        <v>12</v>
      </c>
      <c r="D6" t="s">
        <v>17</v>
      </c>
      <c r="E6">
        <v>4</v>
      </c>
      <c r="F6">
        <v>15000</v>
      </c>
      <c r="G6" t="s">
        <v>26</v>
      </c>
    </row>
    <row r="7" spans="1:7" x14ac:dyDescent="0.25">
      <c r="A7">
        <v>306</v>
      </c>
      <c r="B7" t="s">
        <v>15</v>
      </c>
      <c r="C7" t="s">
        <v>16</v>
      </c>
      <c r="D7" t="s">
        <v>13</v>
      </c>
      <c r="E7">
        <v>2</v>
      </c>
      <c r="F7">
        <v>45000</v>
      </c>
      <c r="G7" t="s">
        <v>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sqref="A1:C4"/>
    </sheetView>
  </sheetViews>
  <sheetFormatPr defaultRowHeight="15" x14ac:dyDescent="0.25"/>
  <sheetData>
    <row r="1" spans="1:3" x14ac:dyDescent="0.25">
      <c r="A1" t="s">
        <v>7</v>
      </c>
      <c r="B1" t="s">
        <v>28</v>
      </c>
      <c r="C1" t="s">
        <v>29</v>
      </c>
    </row>
    <row r="2" spans="1:3" x14ac:dyDescent="0.25">
      <c r="A2" t="s">
        <v>13</v>
      </c>
      <c r="B2" t="s">
        <v>30</v>
      </c>
      <c r="C2">
        <v>18</v>
      </c>
    </row>
    <row r="3" spans="1:3" x14ac:dyDescent="0.25">
      <c r="A3" t="s">
        <v>17</v>
      </c>
      <c r="B3" t="s">
        <v>30</v>
      </c>
      <c r="C3">
        <v>12</v>
      </c>
    </row>
    <row r="4" spans="1:3" x14ac:dyDescent="0.25">
      <c r="A4" t="s">
        <v>21</v>
      </c>
      <c r="B4" t="s">
        <v>30</v>
      </c>
      <c r="C4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8"/>
  <sheetViews>
    <sheetView workbookViewId="0">
      <selection activeCell="K12" sqref="K12"/>
    </sheetView>
  </sheetViews>
  <sheetFormatPr defaultRowHeight="15" x14ac:dyDescent="0.25"/>
  <cols>
    <col min="1" max="1" width="13.140625" bestFit="1" customWidth="1"/>
    <col min="2" max="2" width="12.140625" bestFit="1" customWidth="1"/>
    <col min="6" max="6" width="14" bestFit="1" customWidth="1"/>
    <col min="7" max="7" width="13.42578125" customWidth="1"/>
    <col min="10" max="10" width="11" customWidth="1"/>
  </cols>
  <sheetData>
    <row r="1" spans="1:11" x14ac:dyDescent="0.25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88</v>
      </c>
      <c r="H1" t="s">
        <v>90</v>
      </c>
      <c r="I1" t="s">
        <v>91</v>
      </c>
      <c r="J1" t="s">
        <v>92</v>
      </c>
      <c r="K1" t="s">
        <v>98</v>
      </c>
    </row>
    <row r="2" spans="1:11" x14ac:dyDescent="0.25">
      <c r="A2">
        <v>1</v>
      </c>
      <c r="B2" t="s">
        <v>37</v>
      </c>
      <c r="C2">
        <v>78</v>
      </c>
      <c r="D2">
        <v>82</v>
      </c>
      <c r="E2">
        <v>85</v>
      </c>
      <c r="F2">
        <v>92</v>
      </c>
      <c r="G2">
        <f>AVERAGE(C2:E2)</f>
        <v>81.666666666666671</v>
      </c>
      <c r="H2" t="str">
        <f>INDEX(B2:B6,MATCH(MAX(G2:G6),G2:G6,0))</f>
        <v>Pooja</v>
      </c>
      <c r="I2">
        <f>COUNTIF(F2:F6,"&gt;90")</f>
        <v>3</v>
      </c>
      <c r="J2" t="str" cm="1">
        <f t="array" ref="J2:J6">IF(F2:F6&gt;=85,"eligible","not eligibile")</f>
        <v>eligible</v>
      </c>
      <c r="K2" t="str">
        <f>_xlfn.CONCAT(A2," ",B2)</f>
        <v>1 Rahul</v>
      </c>
    </row>
    <row r="3" spans="1:11" x14ac:dyDescent="0.25">
      <c r="A3">
        <v>2</v>
      </c>
      <c r="B3" t="s">
        <v>38</v>
      </c>
      <c r="C3">
        <v>88</v>
      </c>
      <c r="D3">
        <v>91</v>
      </c>
      <c r="E3">
        <v>90</v>
      </c>
      <c r="F3">
        <v>96</v>
      </c>
      <c r="G3">
        <f t="shared" ref="G3:G6" si="0">AVERAGE(C3:E3)</f>
        <v>89.666666666666671</v>
      </c>
      <c r="J3" t="str">
        <v>eligible</v>
      </c>
      <c r="K3" t="str">
        <f t="shared" ref="K3:K6" si="1">_xlfn.CONCAT(A3," ",B3)</f>
        <v>2 Sneha</v>
      </c>
    </row>
    <row r="4" spans="1:11" x14ac:dyDescent="0.25">
      <c r="A4">
        <v>3</v>
      </c>
      <c r="B4" t="s">
        <v>39</v>
      </c>
      <c r="C4">
        <v>65</v>
      </c>
      <c r="D4">
        <v>70</v>
      </c>
      <c r="E4">
        <v>72</v>
      </c>
      <c r="F4">
        <v>85</v>
      </c>
      <c r="G4">
        <f t="shared" si="0"/>
        <v>69</v>
      </c>
      <c r="J4" t="str">
        <v>eligible</v>
      </c>
      <c r="K4" t="str">
        <f t="shared" si="1"/>
        <v>3 Arjun</v>
      </c>
    </row>
    <row r="5" spans="1:11" x14ac:dyDescent="0.25">
      <c r="A5">
        <v>4</v>
      </c>
      <c r="B5" t="s">
        <v>40</v>
      </c>
      <c r="C5">
        <v>92</v>
      </c>
      <c r="D5">
        <v>89</v>
      </c>
      <c r="E5">
        <v>94</v>
      </c>
      <c r="F5">
        <v>98</v>
      </c>
      <c r="G5">
        <f t="shared" si="0"/>
        <v>91.666666666666671</v>
      </c>
      <c r="J5" t="str">
        <v>eligible</v>
      </c>
      <c r="K5" t="str">
        <f t="shared" si="1"/>
        <v>4 Pooja</v>
      </c>
    </row>
    <row r="6" spans="1:11" x14ac:dyDescent="0.25">
      <c r="A6">
        <v>5</v>
      </c>
      <c r="B6" t="s">
        <v>41</v>
      </c>
      <c r="C6">
        <v>55</v>
      </c>
      <c r="D6">
        <v>60</v>
      </c>
      <c r="E6">
        <v>58</v>
      </c>
      <c r="F6">
        <v>80</v>
      </c>
      <c r="G6">
        <f t="shared" si="0"/>
        <v>57.666666666666664</v>
      </c>
      <c r="J6" t="str">
        <v>not eligibile</v>
      </c>
      <c r="K6" t="str">
        <f t="shared" si="1"/>
        <v>5 Vikas</v>
      </c>
    </row>
    <row r="7" spans="1:11" ht="30" x14ac:dyDescent="0.25">
      <c r="C7" s="6" t="s">
        <v>97</v>
      </c>
      <c r="D7">
        <f>MEDIAN(D2:D6)</f>
        <v>82</v>
      </c>
    </row>
    <row r="10" spans="1:11" x14ac:dyDescent="0.25">
      <c r="A10" t="s">
        <v>60</v>
      </c>
    </row>
    <row r="12" spans="1:11" x14ac:dyDescent="0.25">
      <c r="A12" s="3" t="s">
        <v>93</v>
      </c>
      <c r="B12" t="s">
        <v>96</v>
      </c>
    </row>
    <row r="13" spans="1:11" x14ac:dyDescent="0.25">
      <c r="A13" s="4" t="s">
        <v>39</v>
      </c>
      <c r="B13" s="5">
        <v>72</v>
      </c>
    </row>
    <row r="14" spans="1:11" x14ac:dyDescent="0.25">
      <c r="A14" s="4" t="s">
        <v>40</v>
      </c>
      <c r="B14" s="5">
        <v>94</v>
      </c>
    </row>
    <row r="15" spans="1:11" x14ac:dyDescent="0.25">
      <c r="A15" s="4" t="s">
        <v>37</v>
      </c>
      <c r="B15" s="5">
        <v>85</v>
      </c>
    </row>
    <row r="16" spans="1:11" x14ac:dyDescent="0.25">
      <c r="A16" s="4" t="s">
        <v>38</v>
      </c>
      <c r="B16" s="5">
        <v>90</v>
      </c>
    </row>
    <row r="17" spans="1:2" x14ac:dyDescent="0.25">
      <c r="A17" s="4" t="s">
        <v>41</v>
      </c>
      <c r="B17" s="5">
        <v>58</v>
      </c>
    </row>
    <row r="18" spans="1:2" x14ac:dyDescent="0.25">
      <c r="A18" s="4" t="s">
        <v>94</v>
      </c>
      <c r="B18" s="5">
        <v>399</v>
      </c>
    </row>
  </sheetData>
  <sheetProtection algorithmName="SHA-512" hashValue="ZQmo4mtqJEDP67miWW19bLWJbKbkBQmk6gjKAfXAisMTEP7LLbbA7LuYZerNMxVAbQJ9TM+GvOr3QcX8Wh7tzQ==" saltValue="ezNFpkKxb5HC6HwlNha1Xw==" spinCount="100000" sheet="1" objects="1" scenarios="1"/>
  <pageMargins left="0.75" right="0.75" top="1" bottom="1" header="0.5" footer="0.5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2"/>
  <sheetViews>
    <sheetView topLeftCell="A10" workbookViewId="0">
      <selection activeCell="A29" sqref="A29"/>
    </sheetView>
  </sheetViews>
  <sheetFormatPr defaultRowHeight="15" x14ac:dyDescent="0.25"/>
  <sheetData>
    <row r="1" spans="1:10" x14ac:dyDescent="0.25">
      <c r="A1" t="s">
        <v>42</v>
      </c>
      <c r="J1">
        <v>2</v>
      </c>
    </row>
    <row r="2" spans="1:10" x14ac:dyDescent="0.25">
      <c r="A2" t="s">
        <v>43</v>
      </c>
      <c r="J2">
        <v>2</v>
      </c>
    </row>
    <row r="3" spans="1:10" x14ac:dyDescent="0.25">
      <c r="A3" t="s">
        <v>44</v>
      </c>
      <c r="J3">
        <v>2</v>
      </c>
    </row>
    <row r="4" spans="1:10" x14ac:dyDescent="0.25">
      <c r="A4" t="s">
        <v>45</v>
      </c>
      <c r="J4">
        <v>2</v>
      </c>
    </row>
    <row r="5" spans="1:10" x14ac:dyDescent="0.25">
      <c r="A5" t="s">
        <v>46</v>
      </c>
      <c r="J5">
        <v>2</v>
      </c>
    </row>
    <row r="6" spans="1:10" x14ac:dyDescent="0.25">
      <c r="A6" t="s">
        <v>47</v>
      </c>
      <c r="J6">
        <v>2</v>
      </c>
    </row>
    <row r="7" spans="1:10" x14ac:dyDescent="0.25">
      <c r="A7" t="s">
        <v>48</v>
      </c>
      <c r="J7">
        <v>2</v>
      </c>
    </row>
    <row r="8" spans="1:10" x14ac:dyDescent="0.25">
      <c r="A8" t="s">
        <v>49</v>
      </c>
      <c r="J8">
        <v>2</v>
      </c>
    </row>
    <row r="9" spans="1:10" x14ac:dyDescent="0.25">
      <c r="A9" t="s">
        <v>50</v>
      </c>
      <c r="J9">
        <v>2</v>
      </c>
    </row>
    <row r="10" spans="1:10" x14ac:dyDescent="0.25">
      <c r="A10" t="s">
        <v>51</v>
      </c>
      <c r="J10">
        <v>2</v>
      </c>
    </row>
    <row r="11" spans="1:10" x14ac:dyDescent="0.25">
      <c r="A11" t="s">
        <v>52</v>
      </c>
      <c r="J11">
        <v>2</v>
      </c>
    </row>
    <row r="12" spans="1:10" x14ac:dyDescent="0.25">
      <c r="A12" t="s">
        <v>53</v>
      </c>
      <c r="J12">
        <v>2</v>
      </c>
    </row>
    <row r="13" spans="1:10" x14ac:dyDescent="0.25">
      <c r="A13" t="s">
        <v>54</v>
      </c>
      <c r="J13">
        <v>2</v>
      </c>
    </row>
    <row r="14" spans="1:10" x14ac:dyDescent="0.25">
      <c r="A14" t="s">
        <v>55</v>
      </c>
      <c r="J14">
        <v>2</v>
      </c>
    </row>
    <row r="15" spans="1:10" x14ac:dyDescent="0.25">
      <c r="A15" t="s">
        <v>56</v>
      </c>
      <c r="J15">
        <v>2</v>
      </c>
    </row>
    <row r="16" spans="1:10" x14ac:dyDescent="0.25">
      <c r="A16" t="s">
        <v>57</v>
      </c>
      <c r="J16">
        <v>2</v>
      </c>
    </row>
    <row r="17" spans="1:10" x14ac:dyDescent="0.25">
      <c r="A17" t="s">
        <v>58</v>
      </c>
      <c r="J17">
        <v>2</v>
      </c>
    </row>
    <row r="18" spans="1:10" x14ac:dyDescent="0.25">
      <c r="A18" t="s">
        <v>59</v>
      </c>
      <c r="J18">
        <v>2</v>
      </c>
    </row>
    <row r="19" spans="1:10" x14ac:dyDescent="0.25">
      <c r="A19" t="s">
        <v>60</v>
      </c>
      <c r="J19">
        <v>2</v>
      </c>
    </row>
    <row r="20" spans="1:10" x14ac:dyDescent="0.25">
      <c r="A20" t="s">
        <v>61</v>
      </c>
      <c r="J20">
        <v>2</v>
      </c>
    </row>
    <row r="21" spans="1:10" x14ac:dyDescent="0.25">
      <c r="A21" t="s">
        <v>62</v>
      </c>
      <c r="J21">
        <v>2</v>
      </c>
    </row>
    <row r="22" spans="1:10" x14ac:dyDescent="0.25">
      <c r="A22" t="s">
        <v>63</v>
      </c>
      <c r="J22">
        <v>2</v>
      </c>
    </row>
    <row r="23" spans="1:10" x14ac:dyDescent="0.25">
      <c r="A23" t="s">
        <v>64</v>
      </c>
      <c r="J23">
        <v>2</v>
      </c>
    </row>
    <row r="24" spans="1:10" x14ac:dyDescent="0.25">
      <c r="A24" t="s">
        <v>65</v>
      </c>
      <c r="J24">
        <v>2</v>
      </c>
    </row>
    <row r="25" spans="1:10" x14ac:dyDescent="0.25">
      <c r="A25" t="s">
        <v>66</v>
      </c>
      <c r="J25">
        <v>2</v>
      </c>
    </row>
    <row r="26" spans="1:10" x14ac:dyDescent="0.25">
      <c r="A26" t="s">
        <v>67</v>
      </c>
      <c r="J26">
        <v>2</v>
      </c>
    </row>
    <row r="27" spans="1:10" x14ac:dyDescent="0.25">
      <c r="A27" t="s">
        <v>68</v>
      </c>
      <c r="J27">
        <v>2</v>
      </c>
    </row>
    <row r="28" spans="1:10" x14ac:dyDescent="0.25">
      <c r="A28">
        <v>28</v>
      </c>
      <c r="J28">
        <v>2</v>
      </c>
    </row>
    <row r="29" spans="1:10" x14ac:dyDescent="0.25">
      <c r="A29" t="s">
        <v>70</v>
      </c>
      <c r="J29">
        <v>2</v>
      </c>
    </row>
    <row r="30" spans="1:10" x14ac:dyDescent="0.25">
      <c r="A30" t="s">
        <v>71</v>
      </c>
      <c r="J30">
        <v>2</v>
      </c>
    </row>
    <row r="32" spans="1:10" x14ac:dyDescent="0.25">
      <c r="J32">
        <f>SUM(J1:J30)</f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0D104-D6E3-45E4-86C3-070A65F1B9A1}">
  <sheetPr filterMode="1"/>
  <dimension ref="A1:S34"/>
  <sheetViews>
    <sheetView topLeftCell="C35" zoomScale="106" zoomScaleNormal="106" workbookViewId="0">
      <selection activeCell="C3" sqref="C3:R3"/>
    </sheetView>
  </sheetViews>
  <sheetFormatPr defaultRowHeight="15" x14ac:dyDescent="0.25"/>
  <cols>
    <col min="6" max="6" width="12.42578125" customWidth="1"/>
    <col min="7" max="7" width="10.7109375" bestFit="1" customWidth="1"/>
    <col min="10" max="10" width="10.85546875" bestFit="1" customWidth="1"/>
    <col min="13" max="13" width="15.42578125" bestFit="1" customWidth="1"/>
    <col min="14" max="14" width="13.85546875" customWidth="1"/>
    <col min="15" max="15" width="12" bestFit="1" customWidth="1"/>
    <col min="16" max="16" width="11.5703125" customWidth="1"/>
    <col min="17" max="17" width="11" customWidth="1"/>
  </cols>
  <sheetData>
    <row r="1" spans="1:18" x14ac:dyDescent="0.25">
      <c r="A1" s="1" t="s">
        <v>42</v>
      </c>
      <c r="B1" s="1"/>
      <c r="C1" s="1"/>
      <c r="D1" s="1"/>
      <c r="E1" s="1"/>
      <c r="F1" s="1"/>
      <c r="R1">
        <v>2</v>
      </c>
    </row>
    <row r="2" spans="1:18" x14ac:dyDescent="0.25">
      <c r="O2">
        <v>10</v>
      </c>
    </row>
    <row r="3" spans="1:18" ht="45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s="1" t="s">
        <v>73</v>
      </c>
      <c r="I3" t="s">
        <v>74</v>
      </c>
      <c r="J3" t="s">
        <v>75</v>
      </c>
      <c r="K3" t="s">
        <v>83</v>
      </c>
      <c r="L3" s="1" t="s">
        <v>77</v>
      </c>
      <c r="M3" t="s">
        <v>85</v>
      </c>
      <c r="N3" t="s">
        <v>86</v>
      </c>
      <c r="O3" t="s">
        <v>83</v>
      </c>
      <c r="P3" t="s">
        <v>89</v>
      </c>
      <c r="Q3" s="6" t="s">
        <v>99</v>
      </c>
      <c r="R3" t="s">
        <v>104</v>
      </c>
    </row>
    <row r="4" spans="1:18" x14ac:dyDescent="0.25">
      <c r="A4">
        <v>301</v>
      </c>
      <c r="B4" t="s">
        <v>11</v>
      </c>
      <c r="C4" t="s">
        <v>12</v>
      </c>
      <c r="D4" t="s">
        <v>13</v>
      </c>
      <c r="E4">
        <v>2</v>
      </c>
      <c r="F4">
        <v>45000</v>
      </c>
      <c r="G4" t="s">
        <v>14</v>
      </c>
      <c r="H4" s="1">
        <f>F4*E4</f>
        <v>90000</v>
      </c>
      <c r="I4">
        <f>VLOOKUP(D4,$A$15:$C$18,3,FALSE)/100</f>
        <v>0.18</v>
      </c>
      <c r="J4">
        <f>(H4*I4)</f>
        <v>16200</v>
      </c>
      <c r="K4">
        <f>SUM(H4,J4)</f>
        <v>106200</v>
      </c>
      <c r="L4" s="1">
        <f>COUNTA(A4:A9)</f>
        <v>6</v>
      </c>
      <c r="M4" t="str" cm="1">
        <f t="array" ref="M4:M9">IF(E4:E9&gt;3,"HIGH","LOW")</f>
        <v>LOW</v>
      </c>
      <c r="N4" t="str">
        <f>TEXT(G4,"mmmm")</f>
        <v>January</v>
      </c>
      <c r="O4">
        <v>106200</v>
      </c>
      <c r="P4" t="e">
        <f>INDEX(D4:D9,MATCH(A16,B16:B18,0))</f>
        <v>#N/A</v>
      </c>
      <c r="Q4" t="str">
        <f>LEFT(C4,(2))</f>
        <v>Am</v>
      </c>
      <c r="R4" cm="1">
        <f t="array" ref="R4:R9">ROUND(F4:F9,5)</f>
        <v>45000</v>
      </c>
    </row>
    <row r="5" spans="1:18" x14ac:dyDescent="0.25">
      <c r="A5">
        <v>302</v>
      </c>
      <c r="B5" t="s">
        <v>15</v>
      </c>
      <c r="C5" t="s">
        <v>16</v>
      </c>
      <c r="D5" t="s">
        <v>17</v>
      </c>
      <c r="E5">
        <v>5</v>
      </c>
      <c r="F5">
        <v>15000</v>
      </c>
      <c r="G5" t="s">
        <v>18</v>
      </c>
      <c r="H5" s="1">
        <f t="shared" ref="H5:H9" si="0">F5*E5</f>
        <v>75000</v>
      </c>
      <c r="I5">
        <f t="shared" ref="I5:I9" si="1">VLOOKUP(D5,$A$15:$C$18,3,FALSE)/100</f>
        <v>0.12</v>
      </c>
      <c r="J5">
        <f t="shared" ref="J5:J9" si="2">(H5*I5)</f>
        <v>9000</v>
      </c>
      <c r="K5">
        <f t="shared" ref="K5:K9" si="3">SUM(H5,J5)</f>
        <v>84000</v>
      </c>
      <c r="M5" t="str">
        <v>HIGH</v>
      </c>
      <c r="N5" t="str">
        <f t="shared" ref="N5:N9" si="4">TEXT(G5,"mmmm")</f>
        <v>January</v>
      </c>
      <c r="O5">
        <v>106200</v>
      </c>
      <c r="Q5" t="str">
        <f t="shared" ref="Q5:Q9" si="5">LEFT(C5,(2))</f>
        <v>Ri</v>
      </c>
      <c r="R5">
        <v>15000</v>
      </c>
    </row>
    <row r="6" spans="1:18" x14ac:dyDescent="0.25">
      <c r="A6">
        <v>303</v>
      </c>
      <c r="B6" t="s">
        <v>19</v>
      </c>
      <c r="C6" t="s">
        <v>20</v>
      </c>
      <c r="D6" t="s">
        <v>21</v>
      </c>
      <c r="E6">
        <v>3</v>
      </c>
      <c r="F6">
        <v>18000</v>
      </c>
      <c r="G6" t="s">
        <v>22</v>
      </c>
      <c r="H6" s="1">
        <f t="shared" si="0"/>
        <v>54000</v>
      </c>
      <c r="I6">
        <f t="shared" si="1"/>
        <v>0.12</v>
      </c>
      <c r="J6">
        <f t="shared" si="2"/>
        <v>6480</v>
      </c>
      <c r="K6">
        <f t="shared" si="3"/>
        <v>60480</v>
      </c>
      <c r="M6" t="str">
        <v>LOW</v>
      </c>
      <c r="N6" t="str">
        <f t="shared" si="4"/>
        <v>January</v>
      </c>
      <c r="O6">
        <v>84000</v>
      </c>
      <c r="Q6" t="str">
        <f t="shared" si="5"/>
        <v>Ku</v>
      </c>
      <c r="R6">
        <v>18000</v>
      </c>
    </row>
    <row r="7" spans="1:18" x14ac:dyDescent="0.25">
      <c r="A7">
        <v>304</v>
      </c>
      <c r="B7" t="s">
        <v>23</v>
      </c>
      <c r="C7" t="s">
        <v>24</v>
      </c>
      <c r="D7" t="s">
        <v>13</v>
      </c>
      <c r="E7">
        <v>1</v>
      </c>
      <c r="F7">
        <v>45000</v>
      </c>
      <c r="G7" t="s">
        <v>25</v>
      </c>
      <c r="H7" s="1">
        <f t="shared" si="0"/>
        <v>45000</v>
      </c>
      <c r="I7">
        <f t="shared" si="1"/>
        <v>0.18</v>
      </c>
      <c r="J7">
        <f t="shared" si="2"/>
        <v>8100</v>
      </c>
      <c r="K7">
        <f t="shared" si="3"/>
        <v>53100</v>
      </c>
      <c r="M7" t="str">
        <v>LOW</v>
      </c>
      <c r="N7" t="str">
        <f t="shared" si="4"/>
        <v>January</v>
      </c>
      <c r="O7">
        <v>67200</v>
      </c>
      <c r="Q7" t="str">
        <f t="shared" si="5"/>
        <v>Ne</v>
      </c>
      <c r="R7">
        <v>45000</v>
      </c>
    </row>
    <row r="8" spans="1:18" x14ac:dyDescent="0.25">
      <c r="A8">
        <v>305</v>
      </c>
      <c r="B8" t="s">
        <v>11</v>
      </c>
      <c r="C8" t="s">
        <v>12</v>
      </c>
      <c r="D8" t="s">
        <v>17</v>
      </c>
      <c r="E8">
        <v>4</v>
      </c>
      <c r="F8">
        <v>15000</v>
      </c>
      <c r="G8" t="s">
        <v>26</v>
      </c>
      <c r="H8" s="1">
        <f t="shared" si="0"/>
        <v>60000</v>
      </c>
      <c r="I8">
        <f t="shared" si="1"/>
        <v>0.12</v>
      </c>
      <c r="J8">
        <f t="shared" si="2"/>
        <v>7200</v>
      </c>
      <c r="K8">
        <f t="shared" si="3"/>
        <v>67200</v>
      </c>
      <c r="M8" t="str">
        <v>HIGH</v>
      </c>
      <c r="N8" t="str">
        <f t="shared" si="4"/>
        <v>January</v>
      </c>
      <c r="O8">
        <v>60480</v>
      </c>
      <c r="Q8" t="str">
        <f t="shared" si="5"/>
        <v>Am</v>
      </c>
      <c r="R8">
        <v>15000</v>
      </c>
    </row>
    <row r="9" spans="1:18" x14ac:dyDescent="0.25">
      <c r="A9">
        <v>306</v>
      </c>
      <c r="B9" t="s">
        <v>15</v>
      </c>
      <c r="C9" t="s">
        <v>16</v>
      </c>
      <c r="D9" t="s">
        <v>13</v>
      </c>
      <c r="E9">
        <v>2</v>
      </c>
      <c r="F9">
        <v>45000</v>
      </c>
      <c r="G9" t="s">
        <v>27</v>
      </c>
      <c r="H9" s="1">
        <f t="shared" si="0"/>
        <v>90000</v>
      </c>
      <c r="I9">
        <f t="shared" si="1"/>
        <v>0.18</v>
      </c>
      <c r="J9">
        <f t="shared" si="2"/>
        <v>16200</v>
      </c>
      <c r="K9">
        <f t="shared" si="3"/>
        <v>106200</v>
      </c>
      <c r="M9" t="str">
        <v>LOW</v>
      </c>
      <c r="N9" t="str">
        <f t="shared" si="4"/>
        <v>January</v>
      </c>
      <c r="O9">
        <v>53100</v>
      </c>
      <c r="Q9" t="str">
        <f t="shared" si="5"/>
        <v>Ri</v>
      </c>
      <c r="R9">
        <v>45000</v>
      </c>
    </row>
    <row r="10" spans="1:18" x14ac:dyDescent="0.25">
      <c r="J10" s="1" t="s">
        <v>76</v>
      </c>
      <c r="K10" s="1">
        <f>SUM(K4:K9)</f>
        <v>477180</v>
      </c>
    </row>
    <row r="11" spans="1:18" x14ac:dyDescent="0.25">
      <c r="K11" s="2"/>
    </row>
    <row r="12" spans="1:18" x14ac:dyDescent="0.25">
      <c r="A12" s="1" t="s">
        <v>43</v>
      </c>
      <c r="B12" s="1"/>
      <c r="C12" s="1"/>
      <c r="D12" s="1"/>
      <c r="E12" s="1"/>
      <c r="F12" s="1"/>
      <c r="N12" s="1" t="s">
        <v>66</v>
      </c>
      <c r="O12" s="1"/>
      <c r="P12" s="1"/>
      <c r="Q12" s="1"/>
      <c r="R12" s="1"/>
    </row>
    <row r="13" spans="1:18" x14ac:dyDescent="0.25">
      <c r="H13" s="1" t="s">
        <v>78</v>
      </c>
      <c r="I13" s="1"/>
      <c r="J13" s="1"/>
      <c r="K13" s="1"/>
      <c r="N13" t="s">
        <v>7</v>
      </c>
      <c r="O13" t="s">
        <v>8</v>
      </c>
    </row>
    <row r="14" spans="1:18" x14ac:dyDescent="0.25">
      <c r="H14" t="s">
        <v>87</v>
      </c>
      <c r="I14">
        <f>SUMIF(B4:B9,H14,H4:H9)</f>
        <v>54000</v>
      </c>
      <c r="N14" t="s">
        <v>13</v>
      </c>
      <c r="O14">
        <v>2</v>
      </c>
    </row>
    <row r="15" spans="1:18" hidden="1" x14ac:dyDescent="0.25">
      <c r="A15" t="s">
        <v>7</v>
      </c>
      <c r="B15" t="s">
        <v>28</v>
      </c>
      <c r="C15" t="s">
        <v>29</v>
      </c>
      <c r="H15" t="s">
        <v>79</v>
      </c>
      <c r="I15">
        <f t="shared" ref="I15:I17" si="6">SUMIF(B5:B10,H15,H5:H10)</f>
        <v>54000</v>
      </c>
      <c r="N15" t="s">
        <v>17</v>
      </c>
      <c r="O15">
        <v>5</v>
      </c>
    </row>
    <row r="16" spans="1:18" hidden="1" x14ac:dyDescent="0.25">
      <c r="A16" t="s">
        <v>13</v>
      </c>
      <c r="B16" t="s">
        <v>30</v>
      </c>
      <c r="C16">
        <v>18</v>
      </c>
      <c r="H16" t="s">
        <v>80</v>
      </c>
      <c r="I16">
        <f t="shared" si="6"/>
        <v>60000</v>
      </c>
      <c r="N16" t="s">
        <v>21</v>
      </c>
      <c r="O16">
        <v>3</v>
      </c>
    </row>
    <row r="17" spans="1:19" hidden="1" x14ac:dyDescent="0.25">
      <c r="A17" t="s">
        <v>17</v>
      </c>
      <c r="B17" t="s">
        <v>30</v>
      </c>
      <c r="C17">
        <v>12</v>
      </c>
      <c r="H17" t="s">
        <v>81</v>
      </c>
      <c r="I17">
        <f t="shared" si="6"/>
        <v>90000</v>
      </c>
      <c r="N17" t="s">
        <v>13</v>
      </c>
      <c r="O17">
        <v>1</v>
      </c>
    </row>
    <row r="18" spans="1:19" hidden="1" x14ac:dyDescent="0.25">
      <c r="A18" t="s">
        <v>21</v>
      </c>
      <c r="B18" t="s">
        <v>30</v>
      </c>
      <c r="C18">
        <v>12</v>
      </c>
      <c r="N18" t="s">
        <v>17</v>
      </c>
      <c r="O18">
        <v>4</v>
      </c>
    </row>
    <row r="19" spans="1:19" x14ac:dyDescent="0.25">
      <c r="H19" s="1" t="s">
        <v>49</v>
      </c>
      <c r="I19" s="1"/>
      <c r="J19" s="1"/>
      <c r="K19" s="1"/>
      <c r="L19" s="1"/>
      <c r="N19" t="s">
        <v>13</v>
      </c>
      <c r="O19">
        <v>2</v>
      </c>
    </row>
    <row r="20" spans="1:19" x14ac:dyDescent="0.25">
      <c r="H20" t="s">
        <v>82</v>
      </c>
      <c r="I20">
        <f>MAX(K4:K9)</f>
        <v>106200</v>
      </c>
    </row>
    <row r="21" spans="1:19" x14ac:dyDescent="0.25">
      <c r="H21" t="s">
        <v>84</v>
      </c>
      <c r="I21">
        <f>MIN(K4:K9)</f>
        <v>53100</v>
      </c>
      <c r="N21" s="1" t="s">
        <v>67</v>
      </c>
      <c r="O21" s="1"/>
      <c r="P21" s="1"/>
      <c r="Q21" s="1"/>
      <c r="R21" s="1"/>
      <c r="S21" s="1"/>
    </row>
    <row r="23" spans="1:19" x14ac:dyDescent="0.25">
      <c r="H23" t="s">
        <v>51</v>
      </c>
      <c r="N23" t="s">
        <v>100</v>
      </c>
      <c r="O23" t="s">
        <v>101</v>
      </c>
    </row>
    <row r="24" spans="1:19" x14ac:dyDescent="0.25">
      <c r="N24" t="s">
        <v>102</v>
      </c>
      <c r="O24" t="s">
        <v>103</v>
      </c>
    </row>
    <row r="26" spans="1:19" x14ac:dyDescent="0.25">
      <c r="C26" s="1" t="s">
        <v>69</v>
      </c>
      <c r="D26" s="1"/>
      <c r="E26" s="1"/>
      <c r="F26" s="1"/>
    </row>
    <row r="28" spans="1:19" x14ac:dyDescent="0.25">
      <c r="C28" t="s">
        <v>6</v>
      </c>
      <c r="D28" t="s">
        <v>7</v>
      </c>
      <c r="E28" t="s">
        <v>105</v>
      </c>
    </row>
    <row r="29" spans="1:19" x14ac:dyDescent="0.25">
      <c r="C29" t="s">
        <v>12</v>
      </c>
      <c r="D29" t="s">
        <v>13</v>
      </c>
      <c r="E29" t="str" cm="1">
        <f t="array" ref="E29:E32">_xlfn.UNIQUE(C29:C34)</f>
        <v>Amit</v>
      </c>
    </row>
    <row r="30" spans="1:19" x14ac:dyDescent="0.25">
      <c r="C30" t="s">
        <v>16</v>
      </c>
      <c r="D30" t="s">
        <v>17</v>
      </c>
      <c r="E30" t="str">
        <v>Riya</v>
      </c>
    </row>
    <row r="31" spans="1:19" x14ac:dyDescent="0.25">
      <c r="C31" t="s">
        <v>20</v>
      </c>
      <c r="D31" t="s">
        <v>21</v>
      </c>
      <c r="E31" t="str">
        <v>Kunal</v>
      </c>
    </row>
    <row r="32" spans="1:19" x14ac:dyDescent="0.25">
      <c r="C32" t="s">
        <v>24</v>
      </c>
      <c r="D32" t="s">
        <v>13</v>
      </c>
      <c r="E32" t="str">
        <v>Neha</v>
      </c>
    </row>
    <row r="33" spans="3:4" x14ac:dyDescent="0.25">
      <c r="C33" t="s">
        <v>12</v>
      </c>
      <c r="D33" t="s">
        <v>17</v>
      </c>
    </row>
    <row r="34" spans="3:4" x14ac:dyDescent="0.25">
      <c r="C34" t="s">
        <v>16</v>
      </c>
      <c r="D34" t="s">
        <v>13</v>
      </c>
    </row>
  </sheetData>
  <autoFilter ref="N13:O19" xr:uid="{0ED0D104-D6E3-45E4-86C3-070A65F1B9A1}">
    <filterColumn colId="0">
      <filters>
        <filter val="Laptop"/>
      </filters>
    </filterColumn>
    <filterColumn colId="1">
      <customFilters>
        <customFilter operator="greaterThan" val="1"/>
      </customFilters>
    </filterColumn>
  </autoFilter>
  <sortState xmlns:xlrd2="http://schemas.microsoft.com/office/spreadsheetml/2017/richdata2" ref="O4:O9">
    <sortCondition descending="1" ref="O4:O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Instructions</vt:lpstr>
      <vt:lpstr>pivott table</vt:lpstr>
      <vt:lpstr>Sales_Data</vt:lpstr>
      <vt:lpstr>Product_Master</vt:lpstr>
      <vt:lpstr>Student_Marks</vt:lpstr>
      <vt:lpstr>Questions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sameer7144@outlook.com</cp:lastModifiedBy>
  <dcterms:created xsi:type="dcterms:W3CDTF">2025-12-20T09:26:06Z</dcterms:created>
  <dcterms:modified xsi:type="dcterms:W3CDTF">2026-07-13T09:29:32Z</dcterms:modified>
</cp:coreProperties>
</file>